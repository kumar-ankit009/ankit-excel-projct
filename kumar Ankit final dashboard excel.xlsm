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UMAR ANKIT\Desktop\"/>
    </mc:Choice>
  </mc:AlternateContent>
  <xr:revisionPtr revIDLastSave="0" documentId="13_ncr:1_{1EDDEE42-2B1B-483D-A578-A1EE23A10180}" xr6:coauthVersionLast="45" xr6:coauthVersionMax="45" xr10:uidLastSave="{00000000-0000-0000-0000-000000000000}"/>
  <bookViews>
    <workbookView xWindow="-108" yWindow="-108" windowWidth="23256" windowHeight="12576" firstSheet="3" activeTab="3" xr2:uid="{00000000-000D-0000-FFFF-FFFF00000000}"/>
  </bookViews>
  <sheets>
    <sheet name="Sheet1" sheetId="2" state="hidden" r:id="rId1"/>
    <sheet name="complete dashboard for excel pr" sheetId="6" state="hidden" r:id="rId2"/>
    <sheet name="Dashboard1 excel project ankit" sheetId="3" state="hidden" r:id="rId3"/>
    <sheet name="dashboard ankiiii" sheetId="7" r:id="rId4"/>
    <sheet name="Dashboard 2 excel project ankit" sheetId="4" state="hidden" r:id="rId5"/>
    <sheet name="Dashboard 3 excel project ankit" sheetId="5" state="hidden" r:id="rId6"/>
    <sheet name="IPL Player Stats - 2016 till 20" sheetId="1" r:id="rId7"/>
  </sheets>
  <calcPr calcId="191029"/>
  <pivotCaches>
    <pivotCache cacheId="0" r:id="rId8"/>
  </pivotCaches>
</workbook>
</file>

<file path=xl/calcChain.xml><?xml version="1.0" encoding="utf-8"?>
<calcChain xmlns="http://schemas.openxmlformats.org/spreadsheetml/2006/main">
  <c r="AE8" i="1" l="1"/>
  <c r="AE3" i="1"/>
  <c r="AE4" i="1"/>
  <c r="AE5" i="1"/>
  <c r="AE6" i="1"/>
  <c r="AE7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2" i="1"/>
  <c r="AD2" i="1"/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</calcChain>
</file>

<file path=xl/sharedStrings.xml><?xml version="1.0" encoding="utf-8"?>
<sst xmlns="http://schemas.openxmlformats.org/spreadsheetml/2006/main" count="5793" uniqueCount="427">
  <si>
    <t>Team</t>
  </si>
  <si>
    <t>Player</t>
  </si>
  <si>
    <t>Tournament</t>
  </si>
  <si>
    <t>Matches</t>
  </si>
  <si>
    <t>Batting Innings</t>
  </si>
  <si>
    <t>Not Out</t>
  </si>
  <si>
    <t>Runds Scored</t>
  </si>
  <si>
    <t>Highest Score</t>
  </si>
  <si>
    <t>Batting Average</t>
  </si>
  <si>
    <t>Balls Faced</t>
  </si>
  <si>
    <t>Batting Strike Rate</t>
  </si>
  <si>
    <t>4s</t>
  </si>
  <si>
    <t>6s</t>
  </si>
  <si>
    <t>Bowling Innings</t>
  </si>
  <si>
    <t>Overs Bowled</t>
  </si>
  <si>
    <t>Maidens Bowled</t>
  </si>
  <si>
    <t>Runs Conceded</t>
  </si>
  <si>
    <t>Wickets Taken</t>
  </si>
  <si>
    <t>Best Bowling Figures</t>
  </si>
  <si>
    <t>Bowling Average</t>
  </si>
  <si>
    <t>Bowling Economy Rate</t>
  </si>
  <si>
    <t>Bowling Strike Rate</t>
  </si>
  <si>
    <t>4+ Innings Wickets</t>
  </si>
  <si>
    <t>5+ Innings Wickets</t>
  </si>
  <si>
    <t>Catches Taken</t>
  </si>
  <si>
    <t>Stumpings Made</t>
  </si>
  <si>
    <t>Delhi Daredevils</t>
  </si>
  <si>
    <t>CH Morris</t>
  </si>
  <si>
    <t>IPL 2016</t>
  </si>
  <si>
    <t>82*</t>
  </si>
  <si>
    <t>IPL 2017</t>
  </si>
  <si>
    <t>52*</t>
  </si>
  <si>
    <t>IPL 2018</t>
  </si>
  <si>
    <t>27*</t>
  </si>
  <si>
    <t>JP Duminy</t>
  </si>
  <si>
    <t>49*</t>
  </si>
  <si>
    <t>Q de Kock</t>
  </si>
  <si>
    <t>-</t>
  </si>
  <si>
    <t>KK Nair</t>
  </si>
  <si>
    <t>83*</t>
  </si>
  <si>
    <t>P Negi</t>
  </si>
  <si>
    <t>19*</t>
  </si>
  <si>
    <t>SV Samson</t>
  </si>
  <si>
    <t>RR Pant</t>
  </si>
  <si>
    <t>128*</t>
  </si>
  <si>
    <t>SW Billings</t>
  </si>
  <si>
    <t>CR Brathwaite</t>
  </si>
  <si>
    <t>MA Agarwal</t>
  </si>
  <si>
    <t>SS Iyer</t>
  </si>
  <si>
    <t>93*</t>
  </si>
  <si>
    <t>Imran Tahir</t>
  </si>
  <si>
    <t>Z Khan</t>
  </si>
  <si>
    <t>J Yadav</t>
  </si>
  <si>
    <t>A Mishra</t>
  </si>
  <si>
    <t>13*</t>
  </si>
  <si>
    <t>1*</t>
  </si>
  <si>
    <t>NM Coulter-Nile</t>
  </si>
  <si>
    <t>7*</t>
  </si>
  <si>
    <t>Mohammed Shami</t>
  </si>
  <si>
    <t>2*</t>
  </si>
  <si>
    <t>S Nadeem</t>
  </si>
  <si>
    <t>6*</t>
  </si>
  <si>
    <t>GJ Maxwell</t>
  </si>
  <si>
    <t>G Gambhir</t>
  </si>
  <si>
    <t>C Munro</t>
  </si>
  <si>
    <t>HV Patel</t>
  </si>
  <si>
    <t>36*</t>
  </si>
  <si>
    <t>NV Ojha</t>
  </si>
  <si>
    <t>AP Tare</t>
  </si>
  <si>
    <t>TA Boult</t>
  </si>
  <si>
    <t>CJ Anderson</t>
  </si>
  <si>
    <t>41*</t>
  </si>
  <si>
    <t>K Rabada</t>
  </si>
  <si>
    <t>AD Mathews</t>
  </si>
  <si>
    <t>PJ Cummins</t>
  </si>
  <si>
    <t>MN Samuels</t>
  </si>
  <si>
    <t>AR Bawne</t>
  </si>
  <si>
    <t>12*</t>
  </si>
  <si>
    <t>R Tewatia</t>
  </si>
  <si>
    <t>Avesh Khan</t>
  </si>
  <si>
    <t>V Shankar</t>
  </si>
  <si>
    <t>54*</t>
  </si>
  <si>
    <t>JJ Roy</t>
  </si>
  <si>
    <t>91*</t>
  </si>
  <si>
    <t>DT Christian</t>
  </si>
  <si>
    <t>Abhishek Sharma</t>
  </si>
  <si>
    <t>46*</t>
  </si>
  <si>
    <t>PP Shaw</t>
  </si>
  <si>
    <t>LE Plunkett</t>
  </si>
  <si>
    <t>CJ Dala</t>
  </si>
  <si>
    <t>S Lamichhane</t>
  </si>
  <si>
    <t>Kings XI Punjab</t>
  </si>
  <si>
    <t>IPL 2019</t>
  </si>
  <si>
    <t>MP Stoinis</t>
  </si>
  <si>
    <t>29*</t>
  </si>
  <si>
    <t>M Vijay</t>
  </si>
  <si>
    <t>SE Marsh</t>
  </si>
  <si>
    <t>56*</t>
  </si>
  <si>
    <t>HM Amla</t>
  </si>
  <si>
    <t>104*</t>
  </si>
  <si>
    <t>WP Saha</t>
  </si>
  <si>
    <t>M Vohra</t>
  </si>
  <si>
    <t>Gurkeerat Singh</t>
  </si>
  <si>
    <t>P Sahu</t>
  </si>
  <si>
    <t>18*</t>
  </si>
  <si>
    <t>DA Miller</t>
  </si>
  <si>
    <t>30*</t>
  </si>
  <si>
    <t>59*</t>
  </si>
  <si>
    <t>AR Patel</t>
  </si>
  <si>
    <t>KJ Abbott</t>
  </si>
  <si>
    <t>KC Cariappa</t>
  </si>
  <si>
    <t>NS Naik</t>
  </si>
  <si>
    <t>MM Sharma</t>
  </si>
  <si>
    <t>4*</t>
  </si>
  <si>
    <t>F Behardien</t>
  </si>
  <si>
    <t>9*</t>
  </si>
  <si>
    <t>MG Johnson</t>
  </si>
  <si>
    <t>Swapnil Singh</t>
  </si>
  <si>
    <t>R Dhawan</t>
  </si>
  <si>
    <t>11*</t>
  </si>
  <si>
    <t>Sandeep Sharma</t>
  </si>
  <si>
    <t>5*</t>
  </si>
  <si>
    <t>Anureet Singh</t>
  </si>
  <si>
    <t>AS Rajpoot</t>
  </si>
  <si>
    <t>MJ Guptill</t>
  </si>
  <si>
    <t>50*</t>
  </si>
  <si>
    <t>KL Rahul</t>
  </si>
  <si>
    <t>95*</t>
  </si>
  <si>
    <t>100*</t>
  </si>
  <si>
    <t>SN Khan</t>
  </si>
  <si>
    <t>CH Gayle</t>
  </si>
  <si>
    <t>99*</t>
  </si>
  <si>
    <t>VR Aaron</t>
  </si>
  <si>
    <t>Mandeep Singh</t>
  </si>
  <si>
    <t>33*</t>
  </si>
  <si>
    <t>Yuvraj Singh</t>
  </si>
  <si>
    <t>EJG Morgan</t>
  </si>
  <si>
    <t>BB Sran</t>
  </si>
  <si>
    <t>AJ Finch</t>
  </si>
  <si>
    <t>AD Nath</t>
  </si>
  <si>
    <t>R Ashwin</t>
  </si>
  <si>
    <t>17*</t>
  </si>
  <si>
    <t>M Ashwin</t>
  </si>
  <si>
    <t>I Sharma</t>
  </si>
  <si>
    <t>15*</t>
  </si>
  <si>
    <t>MJ Henry</t>
  </si>
  <si>
    <t>T Natarajan</t>
  </si>
  <si>
    <t>AJ Tye</t>
  </si>
  <si>
    <t>0*</t>
  </si>
  <si>
    <t>MK Tiwary</t>
  </si>
  <si>
    <t>Mujeeb Ur Rahman</t>
  </si>
  <si>
    <t>10*</t>
  </si>
  <si>
    <t>N Pooran</t>
  </si>
  <si>
    <t>SM Curran</t>
  </si>
  <si>
    <t>55*</t>
  </si>
  <si>
    <t>P Simran Singh</t>
  </si>
  <si>
    <t>GC Viljoen</t>
  </si>
  <si>
    <t>Harpreet Brar</t>
  </si>
  <si>
    <t>20*</t>
  </si>
  <si>
    <t>Arshdeep Singh</t>
  </si>
  <si>
    <t>CV Varun</t>
  </si>
  <si>
    <t>Kolkata Knight Riders</t>
  </si>
  <si>
    <t>YK Pathan</t>
  </si>
  <si>
    <t>63*</t>
  </si>
  <si>
    <t>90*</t>
  </si>
  <si>
    <t>76*</t>
  </si>
  <si>
    <t>MK Pandey</t>
  </si>
  <si>
    <t>81*</t>
  </si>
  <si>
    <t>AD Russell</t>
  </si>
  <si>
    <t>39*</t>
  </si>
  <si>
    <t>88*</t>
  </si>
  <si>
    <t>80*</t>
  </si>
  <si>
    <t>RV Uthappa</t>
  </si>
  <si>
    <t>67*</t>
  </si>
  <si>
    <t>SA Yadav</t>
  </si>
  <si>
    <t>CA Lynn</t>
  </si>
  <si>
    <t>Shakib Al Hasan</t>
  </si>
  <si>
    <t>66*</t>
  </si>
  <si>
    <t>PP Chawla</t>
  </si>
  <si>
    <t>14*</t>
  </si>
  <si>
    <t>UT Yadav</t>
  </si>
  <si>
    <t>R Sathish</t>
  </si>
  <si>
    <t>SP Narine</t>
  </si>
  <si>
    <t>JO Holder</t>
  </si>
  <si>
    <t>M Morkel</t>
  </si>
  <si>
    <t>GB Hogg</t>
  </si>
  <si>
    <t>JW Hastings</t>
  </si>
  <si>
    <t>Kuldeep Yadav</t>
  </si>
  <si>
    <t>JD Unadkat</t>
  </si>
  <si>
    <t>N Rana</t>
  </si>
  <si>
    <t>85*</t>
  </si>
  <si>
    <t>R Vinay Kumar</t>
  </si>
  <si>
    <t>KD Karthik</t>
  </si>
  <si>
    <t>97*</t>
  </si>
  <si>
    <t>IR Jaggi</t>
  </si>
  <si>
    <t>SP Jackson</t>
  </si>
  <si>
    <t>C de Grandhomme</t>
  </si>
  <si>
    <t>CR Woakes</t>
  </si>
  <si>
    <t>DM Bravo</t>
  </si>
  <si>
    <t>LH Ferguson</t>
  </si>
  <si>
    <t>Shubman Gill</t>
  </si>
  <si>
    <t>57*</t>
  </si>
  <si>
    <t>JPR Scantlebury-Searles</t>
  </si>
  <si>
    <t>TK Curran</t>
  </si>
  <si>
    <t>RK Singh</t>
  </si>
  <si>
    <t>Shivam Mavi</t>
  </si>
  <si>
    <t>M Prasidh Krishna</t>
  </si>
  <si>
    <t>JL Denly</t>
  </si>
  <si>
    <t>HF Gurney</t>
  </si>
  <si>
    <t>Y Prithvi Raj</t>
  </si>
  <si>
    <t>S Sandeep Warrier</t>
  </si>
  <si>
    <t>Mumbai Indians</t>
  </si>
  <si>
    <t>71*</t>
  </si>
  <si>
    <t>RG Sharma</t>
  </si>
  <si>
    <t>KH Pandya</t>
  </si>
  <si>
    <t>62*</t>
  </si>
  <si>
    <t>Harbhajan Singh</t>
  </si>
  <si>
    <t>45*</t>
  </si>
  <si>
    <t>AT Rayudu</t>
  </si>
  <si>
    <t>KA Pollard</t>
  </si>
  <si>
    <t>51*</t>
  </si>
  <si>
    <t>JC Buttler</t>
  </si>
  <si>
    <t>PA Patel</t>
  </si>
  <si>
    <t>MJ McClenaghan</t>
  </si>
  <si>
    <t>TG Southee</t>
  </si>
  <si>
    <t>JJ Bumrah</t>
  </si>
  <si>
    <t>16*</t>
  </si>
  <si>
    <t>LMP Simmons</t>
  </si>
  <si>
    <t>HH Pandya</t>
  </si>
  <si>
    <t>35*</t>
  </si>
  <si>
    <t>S Gopal</t>
  </si>
  <si>
    <t>UBT Chand</t>
  </si>
  <si>
    <t>J Suchith</t>
  </si>
  <si>
    <t>BCJ Cutting</t>
  </si>
  <si>
    <t>KV Sharma</t>
  </si>
  <si>
    <t>3*</t>
  </si>
  <si>
    <t>Mustafizur Rahman</t>
  </si>
  <si>
    <t>Ishan Kishan</t>
  </si>
  <si>
    <t>PJ Sangwan</t>
  </si>
  <si>
    <t>SS Tiwary</t>
  </si>
  <si>
    <t>SL Malinga</t>
  </si>
  <si>
    <t>RD Chahar</t>
  </si>
  <si>
    <t>E Lewis</t>
  </si>
  <si>
    <t>M Markande</t>
  </si>
  <si>
    <t>A Dananjaya</t>
  </si>
  <si>
    <t>SD Lad</t>
  </si>
  <si>
    <t>AS Joseph</t>
  </si>
  <si>
    <t>Rasikh Salam</t>
  </si>
  <si>
    <t>JP Behrendorff</t>
  </si>
  <si>
    <t>AS Roy</t>
  </si>
  <si>
    <t>Royal Challengers Bangalore</t>
  </si>
  <si>
    <t>V Kohli</t>
  </si>
  <si>
    <t>92*</t>
  </si>
  <si>
    <t>AB de Villiers</t>
  </si>
  <si>
    <t>129*</t>
  </si>
  <si>
    <t>89*</t>
  </si>
  <si>
    <t>68*</t>
  </si>
  <si>
    <t>22*</t>
  </si>
  <si>
    <t>Sachin Baby</t>
  </si>
  <si>
    <t>TM Head</t>
  </si>
  <si>
    <t>75*</t>
  </si>
  <si>
    <t>STR Binny</t>
  </si>
  <si>
    <t>SR Watson</t>
  </si>
  <si>
    <t>Parvez Rasool</t>
  </si>
  <si>
    <t>CJ Jordan</t>
  </si>
  <si>
    <t>KM Jadhav</t>
  </si>
  <si>
    <t>25*</t>
  </si>
  <si>
    <t>Iqbal Abdulla</t>
  </si>
  <si>
    <t>D Wiese</t>
  </si>
  <si>
    <t>KW Richardson</t>
  </si>
  <si>
    <t>S Aravind</t>
  </si>
  <si>
    <t>YS Chahal</t>
  </si>
  <si>
    <t>47*</t>
  </si>
  <si>
    <t>AF Milne</t>
  </si>
  <si>
    <t>T Shamsi</t>
  </si>
  <si>
    <t>BB McCullum</t>
  </si>
  <si>
    <t>DW Steyn</t>
  </si>
  <si>
    <t>A Choudhary</t>
  </si>
  <si>
    <t>Vishnu Vinod</t>
  </si>
  <si>
    <t>TS Mills</t>
  </si>
  <si>
    <t>S Badree</t>
  </si>
  <si>
    <t>B Stanlake</t>
  </si>
  <si>
    <t>Mohammed Siraj</t>
  </si>
  <si>
    <t>Washington Sundar</t>
  </si>
  <si>
    <t>H Klaasen</t>
  </si>
  <si>
    <t>MM Ali</t>
  </si>
  <si>
    <t>K Khejroliya</t>
  </si>
  <si>
    <t>P Ray Barman</t>
  </si>
  <si>
    <t>SO Hetmyer</t>
  </si>
  <si>
    <t>S Dube</t>
  </si>
  <si>
    <t>NA Saini</t>
  </si>
  <si>
    <t>Sunrisers Hyderabad</t>
  </si>
  <si>
    <t>43*</t>
  </si>
  <si>
    <t>DA Warner</t>
  </si>
  <si>
    <t>S Dhawan</t>
  </si>
  <si>
    <t>70*</t>
  </si>
  <si>
    <t>Bipul Sharma</t>
  </si>
  <si>
    <t>21*</t>
  </si>
  <si>
    <t>A Ashish Reddy</t>
  </si>
  <si>
    <t>KS Williamson</t>
  </si>
  <si>
    <t>MC Henriques</t>
  </si>
  <si>
    <t>31*</t>
  </si>
  <si>
    <t>DJ Hooda</t>
  </si>
  <si>
    <t>32*</t>
  </si>
  <si>
    <t>B Kumar</t>
  </si>
  <si>
    <t>26*</t>
  </si>
  <si>
    <t>A Nehra</t>
  </si>
  <si>
    <t>40*</t>
  </si>
  <si>
    <t>Rashid Khan</t>
  </si>
  <si>
    <t>34*</t>
  </si>
  <si>
    <t>Mohammad Nabi</t>
  </si>
  <si>
    <t>S Kaul</t>
  </si>
  <si>
    <t>Basil Thampi</t>
  </si>
  <si>
    <t>AD Hales</t>
  </si>
  <si>
    <t>SP Goswami</t>
  </si>
  <si>
    <t>RK Bhui</t>
  </si>
  <si>
    <t>KK Ahmed</t>
  </si>
  <si>
    <t>JM Bairstow</t>
  </si>
  <si>
    <t>Gujarat Lions</t>
  </si>
  <si>
    <t>DR Smith</t>
  </si>
  <si>
    <t>SK Raina</t>
  </si>
  <si>
    <t>JP Faulkner</t>
  </si>
  <si>
    <t>RA Jadeja</t>
  </si>
  <si>
    <t>DS Kulkarni</t>
  </si>
  <si>
    <t>DJ Bravo</t>
  </si>
  <si>
    <t>ER Dwivedi</t>
  </si>
  <si>
    <t>P Kumar</t>
  </si>
  <si>
    <t>S Kaushik</t>
  </si>
  <si>
    <t>PV Tambe</t>
  </si>
  <si>
    <t>SB Jakati</t>
  </si>
  <si>
    <t>S Ladda</t>
  </si>
  <si>
    <t>IK Pathan</t>
  </si>
  <si>
    <t>Ankit Soni</t>
  </si>
  <si>
    <t>MM Patel</t>
  </si>
  <si>
    <t>SS Agarwal</t>
  </si>
  <si>
    <t>MS Gony</t>
  </si>
  <si>
    <t>NB Singh</t>
  </si>
  <si>
    <t>Tejas Baroka</t>
  </si>
  <si>
    <t>Rising Pune Supergiants</t>
  </si>
  <si>
    <t>SPD Smith</t>
  </si>
  <si>
    <t>AM Rahane</t>
  </si>
  <si>
    <t>MS Dhoni</t>
  </si>
  <si>
    <t>64*</t>
  </si>
  <si>
    <t>KP Pietersen</t>
  </si>
  <si>
    <t>F du Plessis</t>
  </si>
  <si>
    <t>R Bhatia</t>
  </si>
  <si>
    <t>NLTC Perera</t>
  </si>
  <si>
    <t>UT Khawaja</t>
  </si>
  <si>
    <t>GJ Bailey</t>
  </si>
  <si>
    <t>JA Morkel</t>
  </si>
  <si>
    <t>MR Marsh</t>
  </si>
  <si>
    <t>PSP Handscomb</t>
  </si>
  <si>
    <t>A Zampa</t>
  </si>
  <si>
    <t>Ankit Sharma</t>
  </si>
  <si>
    <t>SM Boland</t>
  </si>
  <si>
    <t>DL Chahar</t>
  </si>
  <si>
    <t>AB Dinda</t>
  </si>
  <si>
    <t>RP Singh</t>
  </si>
  <si>
    <t>Rising Pune Supergiant</t>
  </si>
  <si>
    <t>84*</t>
  </si>
  <si>
    <t>61*</t>
  </si>
  <si>
    <t>BA Stokes</t>
  </si>
  <si>
    <t>103*</t>
  </si>
  <si>
    <t>RA Tripathi</t>
  </si>
  <si>
    <t>SN Thakur</t>
  </si>
  <si>
    <t>Chennai Super Kings</t>
  </si>
  <si>
    <t>117*</t>
  </si>
  <si>
    <t>24*</t>
  </si>
  <si>
    <t>79*</t>
  </si>
  <si>
    <t>DR Shorey</t>
  </si>
  <si>
    <t>MA Wood</t>
  </si>
  <si>
    <t>KM Asif</t>
  </si>
  <si>
    <t>L Ngidi</t>
  </si>
  <si>
    <t>DJ Willey</t>
  </si>
  <si>
    <t>MJ Santner</t>
  </si>
  <si>
    <t>SC Kuggeleijn</t>
  </si>
  <si>
    <t>Rajasthan Royals</t>
  </si>
  <si>
    <t>102*</t>
  </si>
  <si>
    <t>73*</t>
  </si>
  <si>
    <t>65*</t>
  </si>
  <si>
    <t>105*</t>
  </si>
  <si>
    <t>MK Lomror</t>
  </si>
  <si>
    <t>DJM Short</t>
  </si>
  <si>
    <t>K Gowtham</t>
  </si>
  <si>
    <t>P Chopra</t>
  </si>
  <si>
    <t>JC Archer</t>
  </si>
  <si>
    <t>B Laughlin</t>
  </si>
  <si>
    <t>IS Sodhi</t>
  </si>
  <si>
    <t>R Parag</t>
  </si>
  <si>
    <t>LS Livingstone</t>
  </si>
  <si>
    <t>AJ Turner</t>
  </si>
  <si>
    <t>S Midhun</t>
  </si>
  <si>
    <t>O Thomas</t>
  </si>
  <si>
    <t>Delhi Capitals</t>
  </si>
  <si>
    <t>78*</t>
  </si>
  <si>
    <t>CA Ingram</t>
  </si>
  <si>
    <t>SE Rutherford</t>
  </si>
  <si>
    <t>28*</t>
  </si>
  <si>
    <t>KMA Paul</t>
  </si>
  <si>
    <t>GH Vihari</t>
  </si>
  <si>
    <t>100</t>
  </si>
  <si>
    <t>50</t>
  </si>
  <si>
    <t>0</t>
  </si>
  <si>
    <t>Row Labels</t>
  </si>
  <si>
    <t>Grand Total</t>
  </si>
  <si>
    <t>Sum of Matches</t>
  </si>
  <si>
    <t>Sum of Runds Scored</t>
  </si>
  <si>
    <t>Count of 100</t>
  </si>
  <si>
    <t>Sum of 6s</t>
  </si>
  <si>
    <t>Sum of Highest Score</t>
  </si>
  <si>
    <t>Sum of Batting Strike Rate</t>
  </si>
  <si>
    <t>Toss win</t>
  </si>
  <si>
    <t>Count of Toss win</t>
  </si>
  <si>
    <t>(All)</t>
  </si>
  <si>
    <t>Count of Bowling Innings</t>
  </si>
  <si>
    <t>Players</t>
  </si>
  <si>
    <t>Sum of Wickets Taken</t>
  </si>
  <si>
    <t>Sum of Runs Conceded</t>
  </si>
  <si>
    <t>Sum of Bowling Economy Rate</t>
  </si>
  <si>
    <t>runs conceeded above 300</t>
  </si>
  <si>
    <t>bowlng avg</t>
  </si>
  <si>
    <t>Sum of Overs Bowled</t>
  </si>
  <si>
    <r>
      <rPr>
        <b/>
        <i/>
        <sz val="11"/>
        <color theme="1"/>
        <rFont val="Calibri"/>
        <family val="2"/>
        <scheme val="minor"/>
      </rPr>
      <t>227 over</t>
    </r>
    <r>
      <rPr>
        <sz val="11"/>
        <color theme="1"/>
        <rFont val="Calibri"/>
        <family val="2"/>
        <scheme val="minor"/>
      </rPr>
      <t>s</t>
    </r>
  </si>
  <si>
    <t>223 overs</t>
  </si>
  <si>
    <t>207 overs</t>
  </si>
  <si>
    <t>192 overs</t>
  </si>
  <si>
    <t>184 overs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</si>
</sst>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7" fontId="0" fillId="0" borderId="0" xfId="0" applyNumberFormat="1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33" borderId="0" xfId="0" applyFill="1" applyAlignment="1">
      <alignment horizontal="left"/>
    </xf>
    <xf numFmtId="0" fontId="0" fillId="33" borderId="0" xfId="0" applyNumberFormat="1" applyFill="1"/>
    <xf numFmtId="0" fontId="0" fillId="34" borderId="0" xfId="0" applyFill="1"/>
    <xf numFmtId="0" fontId="0" fillId="35" borderId="0" xfId="0" applyFill="1"/>
    <xf numFmtId="1" fontId="0" fillId="0" borderId="0" xfId="0" applyNumberFormat="1"/>
    <xf numFmtId="0" fontId="0" fillId="36" borderId="0" xfId="0" applyFill="1"/>
    <xf numFmtId="0" fontId="18" fillId="0" borderId="0" xfId="0" applyFont="1"/>
    <xf numFmtId="0" fontId="0" fillId="37" borderId="0" xfId="0" applyFill="1"/>
    <xf numFmtId="0" fontId="0" fillId="38" borderId="0" xfId="0" applyFill="1"/>
    <xf numFmtId="0" fontId="0" fillId="39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numFmt numFmtId="0" formatCode="General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most no matches played by a  player in all seasons </a:t>
            </a:r>
          </a:p>
        </c:rich>
      </c:tx>
      <c:layout>
        <c:manualLayout>
          <c:xMode val="edge"/>
          <c:yMode val="edge"/>
          <c:x val="0.16061789151356082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798981587975662"/>
          <c:y val="0.34626547831827764"/>
          <c:w val="0.37724866554602021"/>
          <c:h val="0.61794720061832764"/>
        </c:manualLayout>
      </c:layout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explosion val="7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577-471B-8EC1-26D3062DD9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577-471B-8EC1-26D3062DD9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577-471B-8EC1-26D3062DD9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577-471B-8EC1-26D3062DD9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577-471B-8EC1-26D3062DD9F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577-471B-8EC1-26D3062DD9F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Sheet1!$A$4:$A$10</c:f>
              <c:strCache>
                <c:ptCount val="6"/>
                <c:pt idx="0">
                  <c:v>S Dhawan</c:v>
                </c:pt>
                <c:pt idx="1">
                  <c:v>SK Raina</c:v>
                </c:pt>
                <c:pt idx="2">
                  <c:v>MS Dhoni</c:v>
                </c:pt>
                <c:pt idx="3">
                  <c:v>RG Sharma</c:v>
                </c:pt>
                <c:pt idx="4">
                  <c:v>JJ Bumrah</c:v>
                </c:pt>
                <c:pt idx="5">
                  <c:v>KD Karthik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6"/>
                <c:pt idx="0">
                  <c:v>63</c:v>
                </c:pt>
                <c:pt idx="1">
                  <c:v>61</c:v>
                </c:pt>
                <c:pt idx="2">
                  <c:v>61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D3-4F4B-A2C3-18C579668A0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</a:t>
            </a:r>
            <a:r>
              <a:rPr lang="en-US" baseline="0"/>
              <a:t> no of runs scored by a team in all seasons</a:t>
            </a:r>
            <a:endParaRPr lang="en-US"/>
          </a:p>
        </c:rich>
      </c:tx>
      <c:layout>
        <c:manualLayout>
          <c:xMode val="edge"/>
          <c:yMode val="edge"/>
          <c:x val="0.11457962915925832"/>
          <c:y val="9.62015164771070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0.226851851851851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435450449848269"/>
          <c:y val="0.21235892388451444"/>
          <c:w val="0.790827462356679"/>
          <c:h val="0.37908537474482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Sheet1!$L$2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C5C-4470-9A2B-4453FCBA7CFC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C5C-4470-9A2B-4453FCBA7CF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C5C-4470-9A2B-4453FCBA7CF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5C-4470-9A2B-4453FCBA7CF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C5C-4470-9A2B-4453FCBA7CF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5C-4470-9A2B-4453FCBA7CF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5C-4470-9A2B-4453FCBA7CF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5C-4470-9A2B-4453FCBA7CF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C5C-4470-9A2B-4453FCBA7CF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5C-4470-9A2B-4453FCBA7CFC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C5C-4470-9A2B-4453FCBA7CF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C5C-4470-9A2B-4453FCBA7CFC}"/>
              </c:ext>
            </c:extLst>
          </c:dPt>
          <c:dLbls>
            <c:dLbl>
              <c:idx val="0"/>
              <c:layout>
                <c:manualLayout>
                  <c:x val="0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5C-4470-9A2B-4453FCBA7CFC}"/>
                </c:ext>
              </c:extLst>
            </c:dLbl>
            <c:dLbl>
              <c:idx val="3"/>
              <c:layout>
                <c:manualLayout>
                  <c:x val="-5.187640505814598E-17"/>
                  <c:y val="-1.3888888888888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C5C-4470-9A2B-4453FCBA7CFC}"/>
                </c:ext>
              </c:extLst>
            </c:dLbl>
            <c:dLbl>
              <c:idx val="4"/>
              <c:layout>
                <c:manualLayout>
                  <c:x val="-2.8296547821166336E-3"/>
                  <c:y val="-2.77777777777777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5C-4470-9A2B-4453FCBA7CFC}"/>
                </c:ext>
              </c:extLst>
            </c:dLbl>
            <c:dLbl>
              <c:idx val="5"/>
              <c:layout>
                <c:manualLayout>
                  <c:x val="0"/>
                  <c:y val="-2.31481481481481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5C-4470-9A2B-4453FCBA7CFC}"/>
                </c:ext>
              </c:extLst>
            </c:dLbl>
            <c:dLbl>
              <c:idx val="6"/>
              <c:layout>
                <c:manualLayout>
                  <c:x val="-1.0100893414627432E-16"/>
                  <c:y val="-1.85185185185185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5C-4470-9A2B-4453FCBA7CFC}"/>
                </c:ext>
              </c:extLst>
            </c:dLbl>
            <c:dLbl>
              <c:idx val="7"/>
              <c:layout>
                <c:manualLayout>
                  <c:x val="0"/>
                  <c:y val="-4.62962962962962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5C-4470-9A2B-4453FCBA7CFC}"/>
                </c:ext>
              </c:extLst>
            </c:dLbl>
            <c:dLbl>
              <c:idx val="8"/>
              <c:layout>
                <c:manualLayout>
                  <c:x val="2.6799852497776623E-3"/>
                  <c:y val="4.62962962962958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5C-4470-9A2B-4453FCBA7CFC}"/>
                </c:ext>
              </c:extLst>
            </c:dLbl>
            <c:dLbl>
              <c:idx val="9"/>
              <c:layout>
                <c:manualLayout>
                  <c:x val="-2.829656623500574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5C-4470-9A2B-4453FCBA7CFC}"/>
                </c:ext>
              </c:extLst>
            </c:dLbl>
            <c:dLbl>
              <c:idx val="10"/>
              <c:layout>
                <c:manualLayout>
                  <c:x val="-1.0100893414627432E-16"/>
                  <c:y val="-0.226851851851851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5C-4470-9A2B-4453FCBA7C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Sheet1!$K$3:$K$15</c:f>
              <c:strCache>
                <c:ptCount val="12"/>
                <c:pt idx="0">
                  <c:v>Sunrisers Hyderabad</c:v>
                </c:pt>
                <c:pt idx="1">
                  <c:v>Mumbai Indians</c:v>
                </c:pt>
                <c:pt idx="2">
                  <c:v>Kolkata Knight Riders</c:v>
                </c:pt>
                <c:pt idx="3">
                  <c:v>Royal Challengers Bangalore</c:v>
                </c:pt>
                <c:pt idx="4">
                  <c:v>Kings XI Punjab</c:v>
                </c:pt>
                <c:pt idx="5">
                  <c:v>Delhi Daredevils</c:v>
                </c:pt>
                <c:pt idx="6">
                  <c:v>Chennai Super Kings</c:v>
                </c:pt>
                <c:pt idx="7">
                  <c:v>Gujarat Lions</c:v>
                </c:pt>
                <c:pt idx="8">
                  <c:v>Rajasthan Royals</c:v>
                </c:pt>
                <c:pt idx="9">
                  <c:v>Delhi Capitals</c:v>
                </c:pt>
                <c:pt idx="10">
                  <c:v>Rising Pune Supergiant</c:v>
                </c:pt>
                <c:pt idx="11">
                  <c:v>Rising Pune Supergiants</c:v>
                </c:pt>
              </c:strCache>
            </c:strRef>
          </c:cat>
          <c:val>
            <c:numRef>
              <c:f>Sheet1!$L$3:$L$15</c:f>
              <c:numCache>
                <c:formatCode>General</c:formatCode>
                <c:ptCount val="12"/>
                <c:pt idx="0">
                  <c:v>9756</c:v>
                </c:pt>
                <c:pt idx="1">
                  <c:v>9522</c:v>
                </c:pt>
                <c:pt idx="2">
                  <c:v>9494</c:v>
                </c:pt>
                <c:pt idx="3">
                  <c:v>8992</c:v>
                </c:pt>
                <c:pt idx="4">
                  <c:v>8600</c:v>
                </c:pt>
                <c:pt idx="5">
                  <c:v>6376</c:v>
                </c:pt>
                <c:pt idx="6">
                  <c:v>5044</c:v>
                </c:pt>
                <c:pt idx="7">
                  <c:v>4627</c:v>
                </c:pt>
                <c:pt idx="8">
                  <c:v>4379</c:v>
                </c:pt>
                <c:pt idx="9">
                  <c:v>2418</c:v>
                </c:pt>
                <c:pt idx="10">
                  <c:v>2370</c:v>
                </c:pt>
                <c:pt idx="11">
                  <c:v>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7-4B99-A09A-0350D39395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6241455"/>
        <c:axId val="2086261007"/>
      </c:barChart>
      <c:catAx>
        <c:axId val="2086241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61007"/>
        <c:crosses val="autoZero"/>
        <c:auto val="1"/>
        <c:lblAlgn val="ctr"/>
        <c:lblOffset val="100"/>
        <c:noMultiLvlLbl val="0"/>
      </c:catAx>
      <c:valAx>
        <c:axId val="2086261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4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teams who have most no of 100s</a:t>
            </a:r>
          </a:p>
        </c:rich>
      </c:tx>
      <c:layout>
        <c:manualLayout>
          <c:xMode val="edge"/>
          <c:yMode val="edge"/>
          <c:x val="0.18462489063867019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Sheet1!$W$3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Sheet1!$V$4:$V$10</c:f>
              <c:strCache>
                <c:ptCount val="6"/>
                <c:pt idx="0">
                  <c:v>Kings XI Punjab</c:v>
                </c:pt>
                <c:pt idx="1">
                  <c:v>Kolkata Knight Riders</c:v>
                </c:pt>
                <c:pt idx="2">
                  <c:v>Mumbai Indians</c:v>
                </c:pt>
                <c:pt idx="3">
                  <c:v>Delhi Daredevils</c:v>
                </c:pt>
                <c:pt idx="4">
                  <c:v>Rajasthan Royals</c:v>
                </c:pt>
                <c:pt idx="5">
                  <c:v>Chennai Super Kings</c:v>
                </c:pt>
              </c:strCache>
            </c:strRef>
          </c:cat>
          <c:val>
            <c:numRef>
              <c:f>Sheet1!$W$4:$W$10</c:f>
              <c:numCache>
                <c:formatCode>General</c:formatCode>
                <c:ptCount val="6"/>
                <c:pt idx="0">
                  <c:v>79</c:v>
                </c:pt>
                <c:pt idx="1">
                  <c:v>74</c:v>
                </c:pt>
                <c:pt idx="2">
                  <c:v>73</c:v>
                </c:pt>
                <c:pt idx="3">
                  <c:v>59</c:v>
                </c:pt>
                <c:pt idx="4">
                  <c:v>40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3-4661-B074-18B5CFFEF5B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00480"/>
        <c:axId val="655402976"/>
      </c:lineChart>
      <c:catAx>
        <c:axId val="65540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02976"/>
        <c:crosses val="autoZero"/>
        <c:auto val="1"/>
        <c:lblAlgn val="ctr"/>
        <c:lblOffset val="100"/>
        <c:noMultiLvlLbl val="0"/>
      </c:catAx>
      <c:valAx>
        <c:axId val="655402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6 batsman who have most no of 6s in IPL Career</a:t>
            </a:r>
          </a:p>
        </c:rich>
      </c:tx>
      <c:layout>
        <c:manualLayout>
          <c:xMode val="edge"/>
          <c:yMode val="edge"/>
          <c:x val="0.18701377952755904"/>
          <c:y val="6.37941090696996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Sheet1!$AD$2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Sheet1!$AC$3:$AC$32</c:f>
              <c:multiLvlStrCache>
                <c:ptCount val="23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2018</c:v>
                  </c:pt>
                  <c:pt idx="6">
                    <c:v>IPL 2019</c:v>
                  </c:pt>
                  <c:pt idx="7">
                    <c:v>IPL 2016</c:v>
                  </c:pt>
                  <c:pt idx="8">
                    <c:v>IPL 2017</c:v>
                  </c:pt>
                  <c:pt idx="9">
                    <c:v>IPL 2018</c:v>
                  </c:pt>
                  <c:pt idx="10">
                    <c:v>IPL 2019</c:v>
                  </c:pt>
                  <c:pt idx="11">
                    <c:v>IPL 2016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2016</c:v>
                  </c:pt>
                  <c:pt idx="16">
                    <c:v>IPL 2017</c:v>
                  </c:pt>
                  <c:pt idx="17">
                    <c:v>IPL 2018</c:v>
                  </c:pt>
                  <c:pt idx="18">
                    <c:v>IPL 2019</c:v>
                  </c:pt>
                  <c:pt idx="19">
                    <c:v>IPL 2016</c:v>
                  </c:pt>
                  <c:pt idx="20">
                    <c:v>IPL 2017</c:v>
                  </c:pt>
                  <c:pt idx="21">
                    <c:v>IPL 2018</c:v>
                  </c:pt>
                  <c:pt idx="22">
                    <c:v>IPL 2019</c:v>
                  </c:pt>
                </c:lvl>
                <c:lvl>
                  <c:pt idx="0">
                    <c:v>AB de Villiers</c:v>
                  </c:pt>
                  <c:pt idx="4">
                    <c:v>AD Russell</c:v>
                  </c:pt>
                  <c:pt idx="7">
                    <c:v>CH Gayle</c:v>
                  </c:pt>
                  <c:pt idx="11">
                    <c:v>RR Pant</c:v>
                  </c:pt>
                  <c:pt idx="15">
                    <c:v>MS Dhoni</c:v>
                  </c:pt>
                  <c:pt idx="19">
                    <c:v>V Kohli</c:v>
                  </c:pt>
                </c:lvl>
              </c:multiLvlStrCache>
            </c:multiLvlStrRef>
          </c:cat>
          <c:val>
            <c:numRef>
              <c:f>Sheet1!$AD$3:$AD$32</c:f>
              <c:numCache>
                <c:formatCode>General</c:formatCode>
                <c:ptCount val="23"/>
                <c:pt idx="0">
                  <c:v>37</c:v>
                </c:pt>
                <c:pt idx="1">
                  <c:v>16</c:v>
                </c:pt>
                <c:pt idx="2">
                  <c:v>30</c:v>
                </c:pt>
                <c:pt idx="3">
                  <c:v>26</c:v>
                </c:pt>
                <c:pt idx="4">
                  <c:v>15</c:v>
                </c:pt>
                <c:pt idx="5">
                  <c:v>31</c:v>
                </c:pt>
                <c:pt idx="6">
                  <c:v>52</c:v>
                </c:pt>
                <c:pt idx="7">
                  <c:v>21</c:v>
                </c:pt>
                <c:pt idx="8">
                  <c:v>14</c:v>
                </c:pt>
                <c:pt idx="9">
                  <c:v>27</c:v>
                </c:pt>
                <c:pt idx="10">
                  <c:v>34</c:v>
                </c:pt>
                <c:pt idx="11">
                  <c:v>6</c:v>
                </c:pt>
                <c:pt idx="12">
                  <c:v>24</c:v>
                </c:pt>
                <c:pt idx="13">
                  <c:v>37</c:v>
                </c:pt>
                <c:pt idx="14">
                  <c:v>27</c:v>
                </c:pt>
                <c:pt idx="15">
                  <c:v>14</c:v>
                </c:pt>
                <c:pt idx="16">
                  <c:v>16</c:v>
                </c:pt>
                <c:pt idx="17">
                  <c:v>30</c:v>
                </c:pt>
                <c:pt idx="18">
                  <c:v>23</c:v>
                </c:pt>
                <c:pt idx="19">
                  <c:v>38</c:v>
                </c:pt>
                <c:pt idx="20">
                  <c:v>11</c:v>
                </c:pt>
                <c:pt idx="21">
                  <c:v>18</c:v>
                </c:pt>
                <c:pt idx="2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3-4F96-9A87-9742F72D5A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3010016"/>
        <c:axId val="822999616"/>
      </c:barChart>
      <c:catAx>
        <c:axId val="82301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999616"/>
        <c:crosses val="autoZero"/>
        <c:auto val="1"/>
        <c:lblAlgn val="ctr"/>
        <c:lblOffset val="100"/>
        <c:noMultiLvlLbl val="0"/>
      </c:catAx>
      <c:valAx>
        <c:axId val="82299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0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Most no of  runs scored by Top 5 players in all season</a:t>
            </a:r>
          </a:p>
        </c:rich>
      </c:tx>
      <c:layout>
        <c:manualLayout>
          <c:xMode val="edge"/>
          <c:yMode val="edge"/>
          <c:x val="0.19400678040244967"/>
          <c:y val="0.10083114610673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Sheet1!$AJ$5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Sheet1!$AI$6:$AI$11</c:f>
              <c:strCache>
                <c:ptCount val="5"/>
                <c:pt idx="0">
                  <c:v>V Kohli</c:v>
                </c:pt>
                <c:pt idx="1">
                  <c:v>PA Patel</c:v>
                </c:pt>
                <c:pt idx="2">
                  <c:v>Q de Kock</c:v>
                </c:pt>
                <c:pt idx="3">
                  <c:v>RG Sharma</c:v>
                </c:pt>
                <c:pt idx="4">
                  <c:v>KS Williamson</c:v>
                </c:pt>
              </c:strCache>
            </c:strRef>
          </c:cat>
          <c:val>
            <c:numRef>
              <c:f>Sheet1!$AJ$6:$AJ$11</c:f>
              <c:numCache>
                <c:formatCode>General</c:formatCode>
                <c:ptCount val="5"/>
                <c:pt idx="0">
                  <c:v>277</c:v>
                </c:pt>
                <c:pt idx="1">
                  <c:v>271</c:v>
                </c:pt>
                <c:pt idx="2">
                  <c:v>242</c:v>
                </c:pt>
                <c:pt idx="3">
                  <c:v>228</c:v>
                </c:pt>
                <c:pt idx="4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DD-4294-87AB-4C29880901E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17952"/>
        <c:axId val="655420032"/>
      </c:lineChart>
      <c:catAx>
        <c:axId val="65541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20032"/>
        <c:crosses val="autoZero"/>
        <c:auto val="1"/>
        <c:lblAlgn val="ctr"/>
        <c:lblOffset val="100"/>
        <c:noMultiLvlLbl val="0"/>
      </c:catAx>
      <c:valAx>
        <c:axId val="655420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1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1" i="1"/>
              <a:t>Top 5 players who have best strike rate in season2018-2019</a:t>
            </a:r>
          </a:p>
        </c:rich>
      </c:tx>
      <c:layout>
        <c:manualLayout>
          <c:xMode val="edge"/>
          <c:yMode val="edge"/>
          <c:x val="0.17599300087489064"/>
          <c:y val="9.20461483070083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Sheet1!$AP$3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ACD-4211-BE33-949838A8DEB5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CD-4211-BE33-949838A8DEB5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ACD-4211-BE33-949838A8DEB5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CD-4211-BE33-949838A8DEB5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ACD-4211-BE33-949838A8DEB5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CD-4211-BE33-949838A8DEB5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ACD-4211-BE33-949838A8DEB5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CD-4211-BE33-949838A8DEB5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ACD-4211-BE33-949838A8DEB5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CD-4211-BE33-949838A8DE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Sheet1!$AO$4:$AO$19</c:f>
              <c:multiLvlStrCache>
                <c:ptCount val="10"/>
                <c:lvl>
                  <c:pt idx="0">
                    <c:v>IPL 2018</c:v>
                  </c:pt>
                  <c:pt idx="1">
                    <c:v>IPL 2019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2018</c:v>
                  </c:pt>
                  <c:pt idx="9">
                    <c:v>IPL 2019</c:v>
                  </c:pt>
                </c:lvl>
                <c:lvl>
                  <c:pt idx="0">
                    <c:v>SN Thakur</c:v>
                  </c:pt>
                  <c:pt idx="2">
                    <c:v>AD Russell</c:v>
                  </c:pt>
                  <c:pt idx="4">
                    <c:v>MK Lomror</c:v>
                  </c:pt>
                  <c:pt idx="6">
                    <c:v>SP Narine</c:v>
                  </c:pt>
                  <c:pt idx="8">
                    <c:v>Rashid Khan</c:v>
                  </c:pt>
                </c:lvl>
              </c:multiLvlStrCache>
            </c:multiLvlStrRef>
          </c:cat>
          <c:val>
            <c:numRef>
              <c:f>Sheet1!$AP$4:$AP$19</c:f>
              <c:numCache>
                <c:formatCode>General</c:formatCode>
                <c:ptCount val="10"/>
                <c:pt idx="0">
                  <c:v>300</c:v>
                </c:pt>
                <c:pt idx="1">
                  <c:v>200</c:v>
                </c:pt>
                <c:pt idx="2">
                  <c:v>184.79</c:v>
                </c:pt>
                <c:pt idx="3">
                  <c:v>204.81</c:v>
                </c:pt>
                <c:pt idx="4">
                  <c:v>95.23</c:v>
                </c:pt>
                <c:pt idx="5">
                  <c:v>266.66000000000003</c:v>
                </c:pt>
                <c:pt idx="6">
                  <c:v>189.89</c:v>
                </c:pt>
                <c:pt idx="7">
                  <c:v>166.27</c:v>
                </c:pt>
                <c:pt idx="8">
                  <c:v>190.32</c:v>
                </c:pt>
                <c:pt idx="9">
                  <c:v>147.82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D-4211-BE33-949838A8DE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11373578302709"/>
          <c:y val="0.3250700521281758"/>
          <c:w val="0.23721959755030622"/>
          <c:h val="0.55217905167420678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excel.xlsm]Sheet1!PivotTable7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Top</a:t>
            </a:r>
            <a:r>
              <a:rPr lang="en-US" sz="1100" baseline="0"/>
              <a:t> 5 team who won most no of toss</a:t>
            </a:r>
            <a:endParaRPr lang="en-US" sz="1100"/>
          </a:p>
        </c:rich>
      </c:tx>
      <c:layout>
        <c:manualLayout>
          <c:xMode val="edge"/>
          <c:yMode val="edge"/>
          <c:x val="0.21597222222222223"/>
          <c:y val="0.137868183143773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Sheet1!$AN$23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Sheet1!$AM$24:$AM$29</c:f>
              <c:strCache>
                <c:ptCount val="5"/>
                <c:pt idx="0">
                  <c:v>Royal Challengers Bangalore</c:v>
                </c:pt>
                <c:pt idx="1">
                  <c:v>Kings XI Punjab</c:v>
                </c:pt>
                <c:pt idx="2">
                  <c:v>Sunrisers Hyderabad</c:v>
                </c:pt>
                <c:pt idx="3">
                  <c:v>Kolkata Knight Riders</c:v>
                </c:pt>
                <c:pt idx="4">
                  <c:v>Mumbai Indians</c:v>
                </c:pt>
              </c:strCache>
            </c:strRef>
          </c:cat>
          <c:val>
            <c:numRef>
              <c:f>Sheet1!$AN$24:$AN$29</c:f>
              <c:numCache>
                <c:formatCode>General</c:formatCode>
                <c:ptCount val="5"/>
                <c:pt idx="0">
                  <c:v>84</c:v>
                </c:pt>
                <c:pt idx="1">
                  <c:v>79</c:v>
                </c:pt>
                <c:pt idx="2">
                  <c:v>77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3-418C-858A-D13DF2F964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5888080"/>
        <c:axId val="885888912"/>
      </c:barChart>
      <c:catAx>
        <c:axId val="88588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88912"/>
        <c:crosses val="autoZero"/>
        <c:auto val="1"/>
        <c:lblAlgn val="ctr"/>
        <c:lblOffset val="100"/>
        <c:noMultiLvlLbl val="0"/>
      </c:catAx>
      <c:valAx>
        <c:axId val="885888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858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excel.xlsm]Sheet1!PivotTable8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Bowling</a:t>
            </a:r>
            <a:r>
              <a:rPr lang="en-IN" baseline="0"/>
              <a:t> innings for all teams in all seasons</a:t>
            </a:r>
            <a:endParaRPr lang="en-IN"/>
          </a:p>
        </c:rich>
      </c:tx>
      <c:layout>
        <c:manualLayout>
          <c:xMode val="edge"/>
          <c:yMode val="edge"/>
          <c:x val="0.20619793449731827"/>
          <c:y val="2.3148148148148147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57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Sheet1!$AM$31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C-4490-B71E-97C703C28A7B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38C-4490-B71E-97C703C28A7B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C-4490-B71E-97C703C28A7B}"/>
              </c:ext>
            </c:extLst>
          </c:dPt>
          <c:dPt>
            <c:idx val="3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38C-4490-B71E-97C703C28A7B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C-4490-B71E-97C703C28A7B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38C-4490-B71E-97C703C28A7B}"/>
              </c:ext>
            </c:extLst>
          </c:dPt>
          <c:dPt>
            <c:idx val="6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C-4490-B71E-97C703C28A7B}"/>
              </c:ext>
            </c:extLst>
          </c:dPt>
          <c:dPt>
            <c:idx val="7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38C-4490-B71E-97C703C28A7B}"/>
              </c:ext>
            </c:extLst>
          </c:dPt>
          <c:dPt>
            <c:idx val="8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C-4490-B71E-97C703C28A7B}"/>
              </c:ext>
            </c:extLst>
          </c:dPt>
          <c:dPt>
            <c:idx val="9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38C-4490-B71E-97C703C28A7B}"/>
              </c:ext>
            </c:extLst>
          </c:dPt>
          <c:dPt>
            <c:idx val="1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C-4490-B71E-97C703C28A7B}"/>
              </c:ext>
            </c:extLst>
          </c:dPt>
          <c:dPt>
            <c:idx val="1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38C-4490-B71E-97C703C28A7B}"/>
              </c:ext>
            </c:extLst>
          </c:dPt>
          <c:dLbls>
            <c:dLbl>
              <c:idx val="0"/>
              <c:layout>
                <c:manualLayout>
                  <c:x val="-2.8934850927318164E-17"/>
                  <c:y val="-0.12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8C-4490-B71E-97C703C28A7B}"/>
                </c:ext>
              </c:extLst>
            </c:dLbl>
            <c:dLbl>
              <c:idx val="1"/>
              <c:layout>
                <c:manualLayout>
                  <c:x val="3.1565656565656275E-3"/>
                  <c:y val="-0.111111111111111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8C-4490-B71E-97C703C28A7B}"/>
                </c:ext>
              </c:extLst>
            </c:dLbl>
            <c:dLbl>
              <c:idx val="2"/>
              <c:layout>
                <c:manualLayout>
                  <c:x val="-5.7869701854636328E-17"/>
                  <c:y val="-0.171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8C-4490-B71E-97C703C28A7B}"/>
                </c:ext>
              </c:extLst>
            </c:dLbl>
            <c:dLbl>
              <c:idx val="3"/>
              <c:layout>
                <c:manualLayout>
                  <c:x val="3.1565656565656565E-3"/>
                  <c:y val="-0.1574074074074074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8C-4490-B71E-97C703C28A7B}"/>
                </c:ext>
              </c:extLst>
            </c:dLbl>
            <c:dLbl>
              <c:idx val="4"/>
              <c:layout>
                <c:manualLayout>
                  <c:x val="3.1565656565655988E-3"/>
                  <c:y val="-0.1805555555555556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8C-4490-B71E-97C703C28A7B}"/>
                </c:ext>
              </c:extLst>
            </c:dLbl>
            <c:dLbl>
              <c:idx val="5"/>
              <c:layout>
                <c:manualLayout>
                  <c:x val="3.1565656565656565E-3"/>
                  <c:y val="-0.1759259259259259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8C-4490-B71E-97C703C28A7B}"/>
                </c:ext>
              </c:extLst>
            </c:dLbl>
            <c:dLbl>
              <c:idx val="6"/>
              <c:layout>
                <c:manualLayout>
                  <c:x val="3.1565656565656565E-3"/>
                  <c:y val="-0.171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8C-4490-B71E-97C703C28A7B}"/>
                </c:ext>
              </c:extLst>
            </c:dLbl>
            <c:dLbl>
              <c:idx val="7"/>
              <c:layout>
                <c:manualLayout>
                  <c:x val="3.1565656565656565E-3"/>
                  <c:y val="-0.1435185185185185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8C-4490-B71E-97C703C28A7B}"/>
                </c:ext>
              </c:extLst>
            </c:dLbl>
            <c:dLbl>
              <c:idx val="8"/>
              <c:layout>
                <c:manualLayout>
                  <c:x val="-3.1565656565656565E-3"/>
                  <c:y val="-0.1342592592592592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8C-4490-B71E-97C703C28A7B}"/>
                </c:ext>
              </c:extLst>
            </c:dLbl>
            <c:dLbl>
              <c:idx val="9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8C-4490-B71E-97C703C28A7B}"/>
                </c:ext>
              </c:extLst>
            </c:dLbl>
            <c:dLbl>
              <c:idx val="10"/>
              <c:layout>
                <c:manualLayout>
                  <c:x val="-1.1573940370927266E-16"/>
                  <c:y val="-0.2037037037037036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38C-4490-B71E-97C703C28A7B}"/>
                </c:ext>
              </c:extLst>
            </c:dLbl>
            <c:dLbl>
              <c:idx val="11"/>
              <c:layout>
                <c:manualLayout>
                  <c:x val="0"/>
                  <c:y val="-0.208333333333333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38C-4490-B71E-97C703C28A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Sheet1!$AL$32:$AL$44</c:f>
              <c:strCache>
                <c:ptCount val="12"/>
                <c:pt idx="0">
                  <c:v>Chennai Super Kings</c:v>
                </c:pt>
                <c:pt idx="1">
                  <c:v>Delhi Capitals</c:v>
                </c:pt>
                <c:pt idx="2">
                  <c:v>Delhi Daredevils</c:v>
                </c:pt>
                <c:pt idx="3">
                  <c:v>Gujarat Lions</c:v>
                </c:pt>
                <c:pt idx="4">
                  <c:v>Kings XI Punjab</c:v>
                </c:pt>
                <c:pt idx="5">
                  <c:v>Kolkata Knight Riders</c:v>
                </c:pt>
                <c:pt idx="6">
                  <c:v>Mumbai Indians</c:v>
                </c:pt>
                <c:pt idx="7">
                  <c:v>Rajasthan Royals</c:v>
                </c:pt>
                <c:pt idx="8">
                  <c:v>Rising Pune Supergiant</c:v>
                </c:pt>
                <c:pt idx="9">
                  <c:v>Rising Pune Supergiants</c:v>
                </c:pt>
                <c:pt idx="10">
                  <c:v>Royal Challengers Bangalore</c:v>
                </c:pt>
                <c:pt idx="11">
                  <c:v>Sunrisers Hyderabad</c:v>
                </c:pt>
              </c:strCache>
            </c:strRef>
          </c:cat>
          <c:val>
            <c:numRef>
              <c:f>Sheet1!$AM$32:$AM$44</c:f>
              <c:numCache>
                <c:formatCode>General</c:formatCode>
                <c:ptCount val="12"/>
                <c:pt idx="0">
                  <c:v>39</c:v>
                </c:pt>
                <c:pt idx="1">
                  <c:v>20</c:v>
                </c:pt>
                <c:pt idx="2">
                  <c:v>59</c:v>
                </c:pt>
                <c:pt idx="3">
                  <c:v>43</c:v>
                </c:pt>
                <c:pt idx="4">
                  <c:v>79</c:v>
                </c:pt>
                <c:pt idx="5">
                  <c:v>74</c:v>
                </c:pt>
                <c:pt idx="6">
                  <c:v>73</c:v>
                </c:pt>
                <c:pt idx="7">
                  <c:v>40</c:v>
                </c:pt>
                <c:pt idx="8">
                  <c:v>20</c:v>
                </c:pt>
                <c:pt idx="9">
                  <c:v>23</c:v>
                </c:pt>
                <c:pt idx="10">
                  <c:v>84</c:v>
                </c:pt>
                <c:pt idx="11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C-4490-B71E-97C703C28A7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5830256"/>
        <c:axId val="885840240"/>
      </c:barChart>
      <c:catAx>
        <c:axId val="88583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40240"/>
        <c:crosses val="autoZero"/>
        <c:auto val="1"/>
        <c:lblAlgn val="ctr"/>
        <c:lblOffset val="100"/>
        <c:noMultiLvlLbl val="0"/>
      </c:catAx>
      <c:valAx>
        <c:axId val="88584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302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excel.xlsm]Sheet1!PivotTable9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 6 Bowler who have taken Most No Of Wicket In 2017-2019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Sheet1!$AQ$40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Sheet1!$AP$41:$AP$65</c:f>
              <c:multiLvlStrCache>
                <c:ptCount val="18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2017</c:v>
                  </c:pt>
                  <c:pt idx="16">
                    <c:v>IPL 2018</c:v>
                  </c:pt>
                  <c:pt idx="17">
                    <c:v>IPL 2019</c:v>
                  </c:pt>
                </c:lvl>
                <c:lvl>
                  <c:pt idx="0">
                    <c:v>JJ Bumrah</c:v>
                  </c:pt>
                  <c:pt idx="3">
                    <c:v>Rashid Khan</c:v>
                  </c:pt>
                  <c:pt idx="6">
                    <c:v>Imran Tahir</c:v>
                  </c:pt>
                  <c:pt idx="9">
                    <c:v>B Kumar</c:v>
                  </c:pt>
                  <c:pt idx="12">
                    <c:v>UT Yadav</c:v>
                  </c:pt>
                  <c:pt idx="15">
                    <c:v>JD Unadkat</c:v>
                  </c:pt>
                </c:lvl>
              </c:multiLvlStrCache>
            </c:multiLvlStrRef>
          </c:cat>
          <c:val>
            <c:numRef>
              <c:f>Sheet1!$AQ$41:$AQ$65</c:f>
              <c:numCache>
                <c:formatCode>General</c:formatCode>
                <c:ptCount val="18"/>
                <c:pt idx="0">
                  <c:v>20</c:v>
                </c:pt>
                <c:pt idx="1">
                  <c:v>17</c:v>
                </c:pt>
                <c:pt idx="2">
                  <c:v>19</c:v>
                </c:pt>
                <c:pt idx="3">
                  <c:v>17</c:v>
                </c:pt>
                <c:pt idx="4">
                  <c:v>21</c:v>
                </c:pt>
                <c:pt idx="5">
                  <c:v>17</c:v>
                </c:pt>
                <c:pt idx="6">
                  <c:v>18</c:v>
                </c:pt>
                <c:pt idx="7">
                  <c:v>6</c:v>
                </c:pt>
                <c:pt idx="8">
                  <c:v>26</c:v>
                </c:pt>
                <c:pt idx="9">
                  <c:v>26</c:v>
                </c:pt>
                <c:pt idx="10">
                  <c:v>9</c:v>
                </c:pt>
                <c:pt idx="11">
                  <c:v>13</c:v>
                </c:pt>
                <c:pt idx="12">
                  <c:v>17</c:v>
                </c:pt>
                <c:pt idx="13">
                  <c:v>20</c:v>
                </c:pt>
                <c:pt idx="14">
                  <c:v>8</c:v>
                </c:pt>
                <c:pt idx="15">
                  <c:v>24</c:v>
                </c:pt>
                <c:pt idx="16">
                  <c:v>11</c:v>
                </c:pt>
                <c:pt idx="1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C-4BB6-A173-6FB8F7602D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27642255"/>
        <c:axId val="727650991"/>
      </c:barChart>
      <c:catAx>
        <c:axId val="727642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50991"/>
        <c:crosses val="autoZero"/>
        <c:auto val="1"/>
        <c:lblAlgn val="ctr"/>
        <c:lblOffset val="100"/>
        <c:noMultiLvlLbl val="0"/>
      </c:catAx>
      <c:valAx>
        <c:axId val="72765099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2764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excel.xlsm]Sheet1!PivotTable10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1"/>
              <a:t>Top 5 Bowlers Who have</a:t>
            </a:r>
            <a:r>
              <a:rPr lang="en-IN" sz="1100" b="1" i="1" baseline="0"/>
              <a:t> conceeded most no of runs </a:t>
            </a:r>
            <a:r>
              <a:rPr lang="en-IN" sz="1100" b="1" i="1"/>
              <a:t> In Season 2017-2019</a:t>
            </a:r>
          </a:p>
        </c:rich>
      </c:tx>
      <c:layout>
        <c:manualLayout>
          <c:xMode val="edge"/>
          <c:yMode val="edge"/>
          <c:x val="0.14398308954790143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Sheet1!$BA$40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160-4644-A5B8-2E94B69FF1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60-4644-A5B8-2E94B69FF17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160-4644-A5B8-2E94B69FF17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60-4644-A5B8-2E94B69FF17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0160-4644-A5B8-2E94B69FF17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60-4644-A5B8-2E94B69FF17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60-4644-A5B8-2E94B69FF17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0160-4644-A5B8-2E94B69FF1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Sheet1!$AZ$41:$AZ$61</c:f>
              <c:multiLvlStrCache>
                <c:ptCount val="15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</c:lvl>
                <c:lvl>
                  <c:pt idx="0">
                    <c:v>SP Narine</c:v>
                  </c:pt>
                  <c:pt idx="3">
                    <c:v>JJ Bumrah</c:v>
                  </c:pt>
                  <c:pt idx="6">
                    <c:v>JD Unadkat</c:v>
                  </c:pt>
                  <c:pt idx="9">
                    <c:v>UT Yadav</c:v>
                  </c:pt>
                  <c:pt idx="12">
                    <c:v>Rashid Khan</c:v>
                  </c:pt>
                </c:lvl>
              </c:multiLvlStrCache>
            </c:multiLvlStrRef>
          </c:cat>
          <c:val>
            <c:numRef>
              <c:f>Sheet1!$BA$41:$BA$61</c:f>
              <c:numCache>
                <c:formatCode>General</c:formatCode>
                <c:ptCount val="15"/>
                <c:pt idx="0">
                  <c:v>412</c:v>
                </c:pt>
                <c:pt idx="1">
                  <c:v>467</c:v>
                </c:pt>
                <c:pt idx="2">
                  <c:v>347</c:v>
                </c:pt>
                <c:pt idx="3">
                  <c:v>440</c:v>
                </c:pt>
                <c:pt idx="4">
                  <c:v>372</c:v>
                </c:pt>
                <c:pt idx="5">
                  <c:v>409</c:v>
                </c:pt>
                <c:pt idx="6">
                  <c:v>322</c:v>
                </c:pt>
                <c:pt idx="7">
                  <c:v>486</c:v>
                </c:pt>
                <c:pt idx="8">
                  <c:v>398</c:v>
                </c:pt>
                <c:pt idx="9">
                  <c:v>410</c:v>
                </c:pt>
                <c:pt idx="10">
                  <c:v>418</c:v>
                </c:pt>
                <c:pt idx="11">
                  <c:v>371</c:v>
                </c:pt>
                <c:pt idx="12">
                  <c:v>358</c:v>
                </c:pt>
                <c:pt idx="13">
                  <c:v>458</c:v>
                </c:pt>
                <c:pt idx="14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0-4644-A5B8-2E94B69FF1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085856495"/>
        <c:axId val="1085866895"/>
      </c:barChart>
      <c:catAx>
        <c:axId val="1085856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66895"/>
        <c:crosses val="autoZero"/>
        <c:auto val="1"/>
        <c:lblAlgn val="ctr"/>
        <c:lblOffset val="100"/>
        <c:noMultiLvlLbl val="0"/>
      </c:catAx>
      <c:valAx>
        <c:axId val="108586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bowler who have highest economy rate in seasons 2017-2019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Sheet1!$BK$42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multiLvlStrRef>
              <c:f>Sheet1!$BJ$43:$BJ$63</c:f>
              <c:multiLvlStrCache>
                <c:ptCount val="15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</c:lvl>
                <c:lvl>
                  <c:pt idx="0">
                    <c:v>BB Sran</c:v>
                  </c:pt>
                  <c:pt idx="3">
                    <c:v>BCJ Cutting</c:v>
                  </c:pt>
                  <c:pt idx="6">
                    <c:v>TG Southee</c:v>
                  </c:pt>
                  <c:pt idx="9">
                    <c:v>STR Binny</c:v>
                  </c:pt>
                  <c:pt idx="12">
                    <c:v>MP Stoinis</c:v>
                  </c:pt>
                </c:lvl>
              </c:multiLvlStrCache>
            </c:multiLvlStrRef>
          </c:cat>
          <c:val>
            <c:numRef>
              <c:f>Sheet1!$BK$43:$BK$63</c:f>
              <c:numCache>
                <c:formatCode>General</c:formatCode>
                <c:ptCount val="15"/>
                <c:pt idx="0">
                  <c:v>14.5</c:v>
                </c:pt>
                <c:pt idx="1">
                  <c:v>10.4</c:v>
                </c:pt>
                <c:pt idx="2">
                  <c:v>12.75</c:v>
                </c:pt>
                <c:pt idx="3">
                  <c:v>9.7100000000000009</c:v>
                </c:pt>
                <c:pt idx="4">
                  <c:v>9.8800000000000008</c:v>
                </c:pt>
                <c:pt idx="5">
                  <c:v>13.5</c:v>
                </c:pt>
                <c:pt idx="6">
                  <c:v>9.6</c:v>
                </c:pt>
                <c:pt idx="7">
                  <c:v>9</c:v>
                </c:pt>
                <c:pt idx="8">
                  <c:v>13.11</c:v>
                </c:pt>
                <c:pt idx="9">
                  <c:v>8.33</c:v>
                </c:pt>
                <c:pt idx="10">
                  <c:v>16.5</c:v>
                </c:pt>
                <c:pt idx="11">
                  <c:v>6.28</c:v>
                </c:pt>
                <c:pt idx="12">
                  <c:v>10.47</c:v>
                </c:pt>
                <c:pt idx="13">
                  <c:v>10.9</c:v>
                </c:pt>
                <c:pt idx="14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ED-4BF5-BAB6-1959539DB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66847"/>
        <c:axId val="646676415"/>
      </c:lineChart>
      <c:catAx>
        <c:axId val="646666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76415"/>
        <c:crosses val="autoZero"/>
        <c:auto val="1"/>
        <c:lblAlgn val="ctr"/>
        <c:lblOffset val="100"/>
        <c:noMultiLvlLbl val="0"/>
      </c:catAx>
      <c:valAx>
        <c:axId val="64667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66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Top 5 Bowler who Bowled most no of Overs </a:t>
            </a:r>
          </a:p>
        </c:rich>
      </c:tx>
      <c:layout>
        <c:manualLayout>
          <c:xMode val="edge"/>
          <c:yMode val="edge"/>
          <c:x val="0.19018744531933507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580927384076991E-2"/>
          <c:y val="0.19180336832895889"/>
          <c:w val="0.78645603674540687"/>
          <c:h val="0.388492271799358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Sheet1!$BU$43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91-416E-BB07-35C706F7B28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91-416E-BB07-35C706F7B28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291-416E-BB07-35C706F7B28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291-416E-BB07-35C706F7B28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291-416E-BB07-35C706F7B28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291-416E-BB07-35C706F7B28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291-416E-BB07-35C706F7B28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291-416E-BB07-35C706F7B28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291-416E-BB07-35C706F7B28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291-416E-BB07-35C706F7B28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291-416E-BB07-35C706F7B28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291-416E-BB07-35C706F7B285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3291-416E-BB07-35C706F7B285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291-416E-BB07-35C706F7B285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3291-416E-BB07-35C706F7B28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291-416E-BB07-35C706F7B28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3291-416E-BB07-35C706F7B28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291-416E-BB07-35C706F7B285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3291-416E-BB07-35C706F7B285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291-416E-BB07-35C706F7B285}"/>
              </c:ext>
            </c:extLst>
          </c:dPt>
          <c:dLbls>
            <c:dLbl>
              <c:idx val="0"/>
              <c:layout>
                <c:manualLayout>
                  <c:x val="-8.3333333333333332E-3"/>
                  <c:y val="-0.184371901428988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91-416E-BB07-35C706F7B285}"/>
                </c:ext>
              </c:extLst>
            </c:dLbl>
            <c:dLbl>
              <c:idx val="1"/>
              <c:layout>
                <c:manualLayout>
                  <c:x val="0"/>
                  <c:y val="-0.2245775007290755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91-416E-BB07-35C706F7B285}"/>
                </c:ext>
              </c:extLst>
            </c:dLbl>
            <c:dLbl>
              <c:idx val="2"/>
              <c:layout>
                <c:manualLayout>
                  <c:x val="0"/>
                  <c:y val="-0.1788218139399241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91-416E-BB07-35C706F7B285}"/>
                </c:ext>
              </c:extLst>
            </c:dLbl>
            <c:dLbl>
              <c:idx val="3"/>
              <c:layout>
                <c:manualLayout>
                  <c:x val="-2.7777777777777779E-3"/>
                  <c:y val="-0.2045836978710994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91-416E-BB07-35C706F7B285}"/>
                </c:ext>
              </c:extLst>
            </c:dLbl>
            <c:dLbl>
              <c:idx val="4"/>
              <c:layout>
                <c:manualLayout>
                  <c:x val="2.7777777777777779E-3"/>
                  <c:y val="-0.233485710119568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91-416E-BB07-35C706F7B285}"/>
                </c:ext>
              </c:extLst>
            </c:dLbl>
            <c:dLbl>
              <c:idx val="5"/>
              <c:layout>
                <c:manualLayout>
                  <c:x val="-8.3333333333333332E-3"/>
                  <c:y val="-0.17918708078156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91-416E-BB07-35C706F7B285}"/>
                </c:ext>
              </c:extLst>
            </c:dLbl>
            <c:dLbl>
              <c:idx val="6"/>
              <c:layout>
                <c:manualLayout>
                  <c:x val="-2.7777777777777779E-3"/>
                  <c:y val="-0.1637069845435987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91-416E-BB07-35C706F7B285}"/>
                </c:ext>
              </c:extLst>
            </c:dLbl>
            <c:dLbl>
              <c:idx val="7"/>
              <c:layout>
                <c:manualLayout>
                  <c:x val="0"/>
                  <c:y val="-0.20198417906095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91-416E-BB07-35C706F7B285}"/>
                </c:ext>
              </c:extLst>
            </c:dLbl>
            <c:dLbl>
              <c:idx val="8"/>
              <c:layout>
                <c:manualLayout>
                  <c:x val="-5.0925337632079971E-17"/>
                  <c:y val="-0.1554556722076407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91-416E-BB07-35C706F7B285}"/>
                </c:ext>
              </c:extLst>
            </c:dLbl>
            <c:dLbl>
              <c:idx val="9"/>
              <c:layout>
                <c:manualLayout>
                  <c:x val="-5.0925337632079971E-17"/>
                  <c:y val="-0.20198417906095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91-416E-BB07-35C706F7B285}"/>
                </c:ext>
              </c:extLst>
            </c:dLbl>
            <c:dLbl>
              <c:idx val="10"/>
              <c:layout>
                <c:manualLayout>
                  <c:x val="2.7777777777777779E-3"/>
                  <c:y val="-0.2288418635170603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91-416E-BB07-35C706F7B285}"/>
                </c:ext>
              </c:extLst>
            </c:dLbl>
            <c:dLbl>
              <c:idx val="11"/>
              <c:layout>
                <c:manualLayout>
                  <c:x val="0"/>
                  <c:y val="-0.1550904053659959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91-416E-BB07-35C706F7B285}"/>
                </c:ext>
              </c:extLst>
            </c:dLbl>
            <c:dLbl>
              <c:idx val="12"/>
              <c:layout>
                <c:manualLayout>
                  <c:x val="0"/>
                  <c:y val="-0.201678331875182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291-416E-BB07-35C706F7B285}"/>
                </c:ext>
              </c:extLst>
            </c:dLbl>
            <c:dLbl>
              <c:idx val="13"/>
              <c:layout>
                <c:manualLayout>
                  <c:x val="0"/>
                  <c:y val="-0.1529582239720035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291-416E-BB07-35C706F7B285}"/>
                </c:ext>
              </c:extLst>
            </c:dLbl>
            <c:dLbl>
              <c:idx val="14"/>
              <c:layout>
                <c:manualLayout>
                  <c:x val="-1.0185067526415994E-16"/>
                  <c:y val="-0.189921624380285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291-416E-BB07-35C706F7B285}"/>
                </c:ext>
              </c:extLst>
            </c:dLbl>
            <c:dLbl>
              <c:idx val="15"/>
              <c:layout>
                <c:manualLayout>
                  <c:x val="-2.7777777777778798E-3"/>
                  <c:y val="-0.233808326042578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91-416E-BB07-35C706F7B285}"/>
                </c:ext>
              </c:extLst>
            </c:dLbl>
            <c:dLbl>
              <c:idx val="16"/>
              <c:layout>
                <c:manualLayout>
                  <c:x val="0"/>
                  <c:y val="-0.1852919947506562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291-416E-BB07-35C706F7B285}"/>
                </c:ext>
              </c:extLst>
            </c:dLbl>
            <c:dLbl>
              <c:idx val="17"/>
              <c:layout>
                <c:manualLayout>
                  <c:x val="2.7777777777777779E-3"/>
                  <c:y val="-0.1630643044619422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291-416E-BB07-35C706F7B285}"/>
                </c:ext>
              </c:extLst>
            </c:dLbl>
            <c:dLbl>
              <c:idx val="18"/>
              <c:layout>
                <c:manualLayout>
                  <c:x val="2.777777777777676E-3"/>
                  <c:y val="-0.160275226013415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291-416E-BB07-35C706F7B285}"/>
                </c:ext>
              </c:extLst>
            </c:dLbl>
            <c:dLbl>
              <c:idx val="19"/>
              <c:layout>
                <c:manualLayout>
                  <c:x val="0"/>
                  <c:y val="-0.238789005540974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291-416E-BB07-35C706F7B2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Sheet1!$BT$44:$BT$69</c:f>
              <c:multiLvlStrCache>
                <c:ptCount val="20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2017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2016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2016</c:v>
                  </c:pt>
                  <c:pt idx="13">
                    <c:v>IPL 2017</c:v>
                  </c:pt>
                  <c:pt idx="14">
                    <c:v>IPL 2018</c:v>
                  </c:pt>
                  <c:pt idx="15">
                    <c:v>IPL 2019</c:v>
                  </c:pt>
                  <c:pt idx="16">
                    <c:v>IPL 2016</c:v>
                  </c:pt>
                  <c:pt idx="17">
                    <c:v>IPL 2017</c:v>
                  </c:pt>
                  <c:pt idx="18">
                    <c:v>IPL 2018</c:v>
                  </c:pt>
                  <c:pt idx="19">
                    <c:v>IPL 2019</c:v>
                  </c:pt>
                </c:lvl>
                <c:lvl>
                  <c:pt idx="0">
                    <c:v>JJ Bumrah</c:v>
                  </c:pt>
                  <c:pt idx="4">
                    <c:v>B Kumar</c:v>
                  </c:pt>
                  <c:pt idx="8">
                    <c:v>SP Narine</c:v>
                  </c:pt>
                  <c:pt idx="12">
                    <c:v>YS Chahal</c:v>
                  </c:pt>
                  <c:pt idx="16">
                    <c:v>Sandeep Sharma</c:v>
                  </c:pt>
                </c:lvl>
              </c:multiLvlStrCache>
            </c:multiLvlStrRef>
          </c:cat>
          <c:val>
            <c:numRef>
              <c:f>Sheet1!$BU$44:$BU$69</c:f>
              <c:numCache>
                <c:formatCode>General</c:formatCode>
                <c:ptCount val="20"/>
                <c:pt idx="0">
                  <c:v>52</c:v>
                </c:pt>
                <c:pt idx="1">
                  <c:v>59.2</c:v>
                </c:pt>
                <c:pt idx="2">
                  <c:v>54</c:v>
                </c:pt>
                <c:pt idx="3">
                  <c:v>61.4</c:v>
                </c:pt>
                <c:pt idx="4">
                  <c:v>66</c:v>
                </c:pt>
                <c:pt idx="5">
                  <c:v>52.2</c:v>
                </c:pt>
                <c:pt idx="6">
                  <c:v>46.1</c:v>
                </c:pt>
                <c:pt idx="7">
                  <c:v>59</c:v>
                </c:pt>
                <c:pt idx="8">
                  <c:v>42.4</c:v>
                </c:pt>
                <c:pt idx="9">
                  <c:v>59</c:v>
                </c:pt>
                <c:pt idx="10">
                  <c:v>61</c:v>
                </c:pt>
                <c:pt idx="11">
                  <c:v>44.2</c:v>
                </c:pt>
                <c:pt idx="12">
                  <c:v>49.1</c:v>
                </c:pt>
                <c:pt idx="13">
                  <c:v>43.3</c:v>
                </c:pt>
                <c:pt idx="14">
                  <c:v>50</c:v>
                </c:pt>
                <c:pt idx="15">
                  <c:v>49.2</c:v>
                </c:pt>
                <c:pt idx="16">
                  <c:v>50</c:v>
                </c:pt>
                <c:pt idx="17">
                  <c:v>48</c:v>
                </c:pt>
                <c:pt idx="18">
                  <c:v>44</c:v>
                </c:pt>
                <c:pt idx="19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1-416E-BB07-35C706F7B28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8115407"/>
        <c:axId val="588121231"/>
      </c:barChart>
      <c:catAx>
        <c:axId val="58811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21231"/>
        <c:crosses val="autoZero"/>
        <c:auto val="1"/>
        <c:lblAlgn val="ctr"/>
        <c:lblOffset val="100"/>
        <c:noMultiLvlLbl val="0"/>
      </c:catAx>
      <c:valAx>
        <c:axId val="5881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1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/>
              <a:t>most no matches played by a  player in all seasons </a:t>
            </a:r>
          </a:p>
        </c:rich>
      </c:tx>
      <c:layout>
        <c:manualLayout>
          <c:xMode val="edge"/>
          <c:yMode val="edge"/>
          <c:x val="0.16389219765996835"/>
          <c:y val="4.4207214482805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798981587975662"/>
          <c:y val="0.34626547831827764"/>
          <c:w val="0.37724866554602021"/>
          <c:h val="0.61794720061832764"/>
        </c:manualLayout>
      </c:layout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explosion val="7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FF0-4442-A3AB-F1A646FBB7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F0-4442-A3AB-F1A646FBB7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FF0-4442-A3AB-F1A646FBB7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FF0-4442-A3AB-F1A646FBB7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FF0-4442-A3AB-F1A646FBB7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FF0-4442-A3AB-F1A646FBB7F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Sheet1!$A$4:$A$10</c:f>
              <c:strCache>
                <c:ptCount val="6"/>
                <c:pt idx="0">
                  <c:v>S Dhawan</c:v>
                </c:pt>
                <c:pt idx="1">
                  <c:v>SK Raina</c:v>
                </c:pt>
                <c:pt idx="2">
                  <c:v>MS Dhoni</c:v>
                </c:pt>
                <c:pt idx="3">
                  <c:v>RG Sharma</c:v>
                </c:pt>
                <c:pt idx="4">
                  <c:v>JJ Bumrah</c:v>
                </c:pt>
                <c:pt idx="5">
                  <c:v>KD Karthik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6"/>
                <c:pt idx="0">
                  <c:v>63</c:v>
                </c:pt>
                <c:pt idx="1">
                  <c:v>61</c:v>
                </c:pt>
                <c:pt idx="2">
                  <c:v>61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FF0-4442-A3AB-F1A646FBB7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Most</a:t>
            </a:r>
            <a:r>
              <a:rPr lang="en-US" sz="1000" baseline="0"/>
              <a:t> no of runs scored by a team in all seasons</a:t>
            </a:r>
            <a:endParaRPr lang="en-US" sz="1000"/>
          </a:p>
        </c:rich>
      </c:tx>
      <c:layout>
        <c:manualLayout>
          <c:xMode val="edge"/>
          <c:yMode val="edge"/>
          <c:x val="0.1145798292226704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0.226851851851851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C0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</c:pivotFmt>
      <c:pivotFmt>
        <c:idx val="1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0.226851851851851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6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C0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</c:pivotFmt>
      <c:pivotFmt>
        <c:idx val="30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0100893414627432E-16"/>
              <c:y val="-1.408611157647853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435450449848269"/>
          <c:y val="0.21235892388451444"/>
          <c:w val="0.790827462356679"/>
          <c:h val="0.37908537474482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Sheet1!$L$2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C9-4E43-8ECC-B75CAB5AC75A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C9-4E43-8ECC-B75CAB5AC7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EC9-4E43-8ECC-B75CAB5AC75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EC9-4E43-8ECC-B75CAB5AC75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EC9-4E43-8ECC-B75CAB5AC75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EC9-4E43-8ECC-B75CAB5AC75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EC9-4E43-8ECC-B75CAB5AC75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EC9-4E43-8ECC-B75CAB5AC75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EC9-4E43-8ECC-B75CAB5AC75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EC9-4E43-8ECC-B75CAB5AC75A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EC9-4E43-8ECC-B75CAB5AC75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EC9-4E43-8ECC-B75CAB5AC75A}"/>
              </c:ext>
            </c:extLst>
          </c:dPt>
          <c:dLbls>
            <c:dLbl>
              <c:idx val="0"/>
              <c:layout>
                <c:manualLayout>
                  <c:x val="0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C9-4E43-8ECC-B75CAB5AC75A}"/>
                </c:ext>
              </c:extLst>
            </c:dLbl>
            <c:dLbl>
              <c:idx val="3"/>
              <c:layout>
                <c:manualLayout>
                  <c:x val="-5.187640505814598E-17"/>
                  <c:y val="-1.3888888888888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C9-4E43-8ECC-B75CAB5AC75A}"/>
                </c:ext>
              </c:extLst>
            </c:dLbl>
            <c:dLbl>
              <c:idx val="4"/>
              <c:layout>
                <c:manualLayout>
                  <c:x val="-2.8296547821166336E-3"/>
                  <c:y val="-2.77777777777777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C9-4E43-8ECC-B75CAB5AC75A}"/>
                </c:ext>
              </c:extLst>
            </c:dLbl>
            <c:dLbl>
              <c:idx val="5"/>
              <c:layout>
                <c:manualLayout>
                  <c:x val="0"/>
                  <c:y val="-2.31481481481481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C9-4E43-8ECC-B75CAB5AC75A}"/>
                </c:ext>
              </c:extLst>
            </c:dLbl>
            <c:dLbl>
              <c:idx val="6"/>
              <c:layout>
                <c:manualLayout>
                  <c:x val="-1.0100893414627432E-16"/>
                  <c:y val="-1.85185185185185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EC9-4E43-8ECC-B75CAB5AC75A}"/>
                </c:ext>
              </c:extLst>
            </c:dLbl>
            <c:dLbl>
              <c:idx val="7"/>
              <c:layout>
                <c:manualLayout>
                  <c:x val="0"/>
                  <c:y val="-4.62962962962962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EC9-4E43-8ECC-B75CAB5AC75A}"/>
                </c:ext>
              </c:extLst>
            </c:dLbl>
            <c:dLbl>
              <c:idx val="8"/>
              <c:layout>
                <c:manualLayout>
                  <c:x val="2.6799852497776623E-3"/>
                  <c:y val="4.62962962962958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EC9-4E43-8ECC-B75CAB5AC75A}"/>
                </c:ext>
              </c:extLst>
            </c:dLbl>
            <c:dLbl>
              <c:idx val="9"/>
              <c:layout>
                <c:manualLayout>
                  <c:x val="-2.829656623500574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EC9-4E43-8ECC-B75CAB5AC75A}"/>
                </c:ext>
              </c:extLst>
            </c:dLbl>
            <c:dLbl>
              <c:idx val="10"/>
              <c:layout>
                <c:manualLayout>
                  <c:x val="-1.0100893414627432E-16"/>
                  <c:y val="-1.408611157647853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EC9-4E43-8ECC-B75CAB5AC7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Sheet1!$K$3:$K$15</c:f>
              <c:strCache>
                <c:ptCount val="12"/>
                <c:pt idx="0">
                  <c:v>Sunrisers Hyderabad</c:v>
                </c:pt>
                <c:pt idx="1">
                  <c:v>Mumbai Indians</c:v>
                </c:pt>
                <c:pt idx="2">
                  <c:v>Kolkata Knight Riders</c:v>
                </c:pt>
                <c:pt idx="3">
                  <c:v>Royal Challengers Bangalore</c:v>
                </c:pt>
                <c:pt idx="4">
                  <c:v>Kings XI Punjab</c:v>
                </c:pt>
                <c:pt idx="5">
                  <c:v>Delhi Daredevils</c:v>
                </c:pt>
                <c:pt idx="6">
                  <c:v>Chennai Super Kings</c:v>
                </c:pt>
                <c:pt idx="7">
                  <c:v>Gujarat Lions</c:v>
                </c:pt>
                <c:pt idx="8">
                  <c:v>Rajasthan Royals</c:v>
                </c:pt>
                <c:pt idx="9">
                  <c:v>Delhi Capitals</c:v>
                </c:pt>
                <c:pt idx="10">
                  <c:v>Rising Pune Supergiant</c:v>
                </c:pt>
                <c:pt idx="11">
                  <c:v>Rising Pune Supergiants</c:v>
                </c:pt>
              </c:strCache>
            </c:strRef>
          </c:cat>
          <c:val>
            <c:numRef>
              <c:f>Sheet1!$L$3:$L$15</c:f>
              <c:numCache>
                <c:formatCode>General</c:formatCode>
                <c:ptCount val="12"/>
                <c:pt idx="0">
                  <c:v>9756</c:v>
                </c:pt>
                <c:pt idx="1">
                  <c:v>9522</c:v>
                </c:pt>
                <c:pt idx="2">
                  <c:v>9494</c:v>
                </c:pt>
                <c:pt idx="3">
                  <c:v>8992</c:v>
                </c:pt>
                <c:pt idx="4">
                  <c:v>8600</c:v>
                </c:pt>
                <c:pt idx="5">
                  <c:v>6376</c:v>
                </c:pt>
                <c:pt idx="6">
                  <c:v>5044</c:v>
                </c:pt>
                <c:pt idx="7">
                  <c:v>4627</c:v>
                </c:pt>
                <c:pt idx="8">
                  <c:v>4379</c:v>
                </c:pt>
                <c:pt idx="9">
                  <c:v>2418</c:v>
                </c:pt>
                <c:pt idx="10">
                  <c:v>2370</c:v>
                </c:pt>
                <c:pt idx="11">
                  <c:v>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EC9-4E43-8ECC-B75CAB5AC7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86241455"/>
        <c:axId val="2086261007"/>
      </c:barChart>
      <c:catAx>
        <c:axId val="2086241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61007"/>
        <c:crosses val="autoZero"/>
        <c:auto val="1"/>
        <c:lblAlgn val="ctr"/>
        <c:lblOffset val="100"/>
        <c:noMultiLvlLbl val="0"/>
      </c:catAx>
      <c:valAx>
        <c:axId val="2086261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4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teams who have most no of 100s</a:t>
            </a:r>
          </a:p>
        </c:rich>
      </c:tx>
      <c:layout>
        <c:manualLayout>
          <c:xMode val="edge"/>
          <c:yMode val="edge"/>
          <c:x val="0.18462489063867019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Sheet1!$W$3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Sheet1!$V$4:$V$10</c:f>
              <c:strCache>
                <c:ptCount val="6"/>
                <c:pt idx="0">
                  <c:v>Kings XI Punjab</c:v>
                </c:pt>
                <c:pt idx="1">
                  <c:v>Kolkata Knight Riders</c:v>
                </c:pt>
                <c:pt idx="2">
                  <c:v>Mumbai Indians</c:v>
                </c:pt>
                <c:pt idx="3">
                  <c:v>Delhi Daredevils</c:v>
                </c:pt>
                <c:pt idx="4">
                  <c:v>Rajasthan Royals</c:v>
                </c:pt>
                <c:pt idx="5">
                  <c:v>Chennai Super Kings</c:v>
                </c:pt>
              </c:strCache>
            </c:strRef>
          </c:cat>
          <c:val>
            <c:numRef>
              <c:f>Sheet1!$W$4:$W$10</c:f>
              <c:numCache>
                <c:formatCode>General</c:formatCode>
                <c:ptCount val="6"/>
                <c:pt idx="0">
                  <c:v>79</c:v>
                </c:pt>
                <c:pt idx="1">
                  <c:v>74</c:v>
                </c:pt>
                <c:pt idx="2">
                  <c:v>73</c:v>
                </c:pt>
                <c:pt idx="3">
                  <c:v>59</c:v>
                </c:pt>
                <c:pt idx="4">
                  <c:v>40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0-48F2-8405-C23731DD4C0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00480"/>
        <c:axId val="655402976"/>
      </c:lineChart>
      <c:catAx>
        <c:axId val="65540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02976"/>
        <c:crosses val="autoZero"/>
        <c:auto val="1"/>
        <c:lblAlgn val="ctr"/>
        <c:lblOffset val="100"/>
        <c:noMultiLvlLbl val="0"/>
      </c:catAx>
      <c:valAx>
        <c:axId val="655402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50"/>
              <a:t>Top 6 batsman who have most no of 6s in IPL Career</a:t>
            </a:r>
          </a:p>
        </c:rich>
      </c:tx>
      <c:layout>
        <c:manualLayout>
          <c:xMode val="edge"/>
          <c:yMode val="edge"/>
          <c:x val="0.13000496416821136"/>
          <c:y val="2.0657140079712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Sheet1!$AD$2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Sheet1!$AC$3:$AC$32</c:f>
              <c:multiLvlStrCache>
                <c:ptCount val="23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2018</c:v>
                  </c:pt>
                  <c:pt idx="6">
                    <c:v>IPL 2019</c:v>
                  </c:pt>
                  <c:pt idx="7">
                    <c:v>IPL 2016</c:v>
                  </c:pt>
                  <c:pt idx="8">
                    <c:v>IPL 2017</c:v>
                  </c:pt>
                  <c:pt idx="9">
                    <c:v>IPL 2018</c:v>
                  </c:pt>
                  <c:pt idx="10">
                    <c:v>IPL 2019</c:v>
                  </c:pt>
                  <c:pt idx="11">
                    <c:v>IPL 2016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2016</c:v>
                  </c:pt>
                  <c:pt idx="16">
                    <c:v>IPL 2017</c:v>
                  </c:pt>
                  <c:pt idx="17">
                    <c:v>IPL 2018</c:v>
                  </c:pt>
                  <c:pt idx="18">
                    <c:v>IPL 2019</c:v>
                  </c:pt>
                  <c:pt idx="19">
                    <c:v>IPL 2016</c:v>
                  </c:pt>
                  <c:pt idx="20">
                    <c:v>IPL 2017</c:v>
                  </c:pt>
                  <c:pt idx="21">
                    <c:v>IPL 2018</c:v>
                  </c:pt>
                  <c:pt idx="22">
                    <c:v>IPL 2019</c:v>
                  </c:pt>
                </c:lvl>
                <c:lvl>
                  <c:pt idx="0">
                    <c:v>AB de Villiers</c:v>
                  </c:pt>
                  <c:pt idx="4">
                    <c:v>AD Russell</c:v>
                  </c:pt>
                  <c:pt idx="7">
                    <c:v>CH Gayle</c:v>
                  </c:pt>
                  <c:pt idx="11">
                    <c:v>RR Pant</c:v>
                  </c:pt>
                  <c:pt idx="15">
                    <c:v>MS Dhoni</c:v>
                  </c:pt>
                  <c:pt idx="19">
                    <c:v>V Kohli</c:v>
                  </c:pt>
                </c:lvl>
              </c:multiLvlStrCache>
            </c:multiLvlStrRef>
          </c:cat>
          <c:val>
            <c:numRef>
              <c:f>Sheet1!$AD$3:$AD$32</c:f>
              <c:numCache>
                <c:formatCode>General</c:formatCode>
                <c:ptCount val="23"/>
                <c:pt idx="0">
                  <c:v>37</c:v>
                </c:pt>
                <c:pt idx="1">
                  <c:v>16</c:v>
                </c:pt>
                <c:pt idx="2">
                  <c:v>30</c:v>
                </c:pt>
                <c:pt idx="3">
                  <c:v>26</c:v>
                </c:pt>
                <c:pt idx="4">
                  <c:v>15</c:v>
                </c:pt>
                <c:pt idx="5">
                  <c:v>31</c:v>
                </c:pt>
                <c:pt idx="6">
                  <c:v>52</c:v>
                </c:pt>
                <c:pt idx="7">
                  <c:v>21</c:v>
                </c:pt>
                <c:pt idx="8">
                  <c:v>14</c:v>
                </c:pt>
                <c:pt idx="9">
                  <c:v>27</c:v>
                </c:pt>
                <c:pt idx="10">
                  <c:v>34</c:v>
                </c:pt>
                <c:pt idx="11">
                  <c:v>6</c:v>
                </c:pt>
                <c:pt idx="12">
                  <c:v>24</c:v>
                </c:pt>
                <c:pt idx="13">
                  <c:v>37</c:v>
                </c:pt>
                <c:pt idx="14">
                  <c:v>27</c:v>
                </c:pt>
                <c:pt idx="15">
                  <c:v>14</c:v>
                </c:pt>
                <c:pt idx="16">
                  <c:v>16</c:v>
                </c:pt>
                <c:pt idx="17">
                  <c:v>30</c:v>
                </c:pt>
                <c:pt idx="18">
                  <c:v>23</c:v>
                </c:pt>
                <c:pt idx="19">
                  <c:v>38</c:v>
                </c:pt>
                <c:pt idx="20">
                  <c:v>11</c:v>
                </c:pt>
                <c:pt idx="21">
                  <c:v>18</c:v>
                </c:pt>
                <c:pt idx="2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3-49D6-8A7E-2C4D08F4C7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3010016"/>
        <c:axId val="822999616"/>
      </c:barChart>
      <c:catAx>
        <c:axId val="82301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999616"/>
        <c:crosses val="autoZero"/>
        <c:auto val="1"/>
        <c:lblAlgn val="ctr"/>
        <c:lblOffset val="100"/>
        <c:noMultiLvlLbl val="0"/>
      </c:catAx>
      <c:valAx>
        <c:axId val="82299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0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1000"/>
              <a:t>Most no of  runs scored by Top 5 players in all season</a:t>
            </a:r>
          </a:p>
        </c:rich>
      </c:tx>
      <c:layout>
        <c:manualLayout>
          <c:xMode val="edge"/>
          <c:yMode val="edge"/>
          <c:x val="0.19400678040244967"/>
          <c:y val="0.10083114610673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Sheet1!$AJ$5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Sheet1!$AI$6:$AI$11</c:f>
              <c:strCache>
                <c:ptCount val="5"/>
                <c:pt idx="0">
                  <c:v>V Kohli</c:v>
                </c:pt>
                <c:pt idx="1">
                  <c:v>PA Patel</c:v>
                </c:pt>
                <c:pt idx="2">
                  <c:v>Q de Kock</c:v>
                </c:pt>
                <c:pt idx="3">
                  <c:v>RG Sharma</c:v>
                </c:pt>
                <c:pt idx="4">
                  <c:v>KS Williamson</c:v>
                </c:pt>
              </c:strCache>
            </c:strRef>
          </c:cat>
          <c:val>
            <c:numRef>
              <c:f>Sheet1!$AJ$6:$AJ$11</c:f>
              <c:numCache>
                <c:formatCode>General</c:formatCode>
                <c:ptCount val="5"/>
                <c:pt idx="0">
                  <c:v>277</c:v>
                </c:pt>
                <c:pt idx="1">
                  <c:v>271</c:v>
                </c:pt>
                <c:pt idx="2">
                  <c:v>242</c:v>
                </c:pt>
                <c:pt idx="3">
                  <c:v>228</c:v>
                </c:pt>
                <c:pt idx="4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0-4CB4-A317-5199B5EE29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17952"/>
        <c:axId val="655420032"/>
      </c:lineChart>
      <c:catAx>
        <c:axId val="65541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20032"/>
        <c:crosses val="autoZero"/>
        <c:auto val="1"/>
        <c:lblAlgn val="ctr"/>
        <c:lblOffset val="100"/>
        <c:noMultiLvlLbl val="0"/>
      </c:catAx>
      <c:valAx>
        <c:axId val="655420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1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excel.xlsm]Sheet1!PivotTable6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1" i="1"/>
              <a:t>Top 5 players who have best strike rate in season2018-2019</a:t>
            </a:r>
          </a:p>
        </c:rich>
      </c:tx>
      <c:layout>
        <c:manualLayout>
          <c:xMode val="edge"/>
          <c:yMode val="edge"/>
          <c:x val="0.17599298268589608"/>
          <c:y val="6.35563182807277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Sheet1!$AP$3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CA-4833-BEC2-0EACE4BD2008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CA-4833-BEC2-0EACE4BD2008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CA-4833-BEC2-0EACE4BD2008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CA-4833-BEC2-0EACE4BD2008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3CA-4833-BEC2-0EACE4BD2008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3CA-4833-BEC2-0EACE4BD2008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3CA-4833-BEC2-0EACE4BD2008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3CA-4833-BEC2-0EACE4BD2008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3CA-4833-BEC2-0EACE4BD2008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3CA-4833-BEC2-0EACE4BD20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Sheet1!$AO$4:$AO$19</c:f>
              <c:multiLvlStrCache>
                <c:ptCount val="10"/>
                <c:lvl>
                  <c:pt idx="0">
                    <c:v>IPL 2018</c:v>
                  </c:pt>
                  <c:pt idx="1">
                    <c:v>IPL 2019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2018</c:v>
                  </c:pt>
                  <c:pt idx="9">
                    <c:v>IPL 2019</c:v>
                  </c:pt>
                </c:lvl>
                <c:lvl>
                  <c:pt idx="0">
                    <c:v>SN Thakur</c:v>
                  </c:pt>
                  <c:pt idx="2">
                    <c:v>AD Russell</c:v>
                  </c:pt>
                  <c:pt idx="4">
                    <c:v>MK Lomror</c:v>
                  </c:pt>
                  <c:pt idx="6">
                    <c:v>SP Narine</c:v>
                  </c:pt>
                  <c:pt idx="8">
                    <c:v>Rashid Khan</c:v>
                  </c:pt>
                </c:lvl>
              </c:multiLvlStrCache>
            </c:multiLvlStrRef>
          </c:cat>
          <c:val>
            <c:numRef>
              <c:f>Sheet1!$AP$4:$AP$19</c:f>
              <c:numCache>
                <c:formatCode>General</c:formatCode>
                <c:ptCount val="10"/>
                <c:pt idx="0">
                  <c:v>300</c:v>
                </c:pt>
                <c:pt idx="1">
                  <c:v>200</c:v>
                </c:pt>
                <c:pt idx="2">
                  <c:v>184.79</c:v>
                </c:pt>
                <c:pt idx="3">
                  <c:v>204.81</c:v>
                </c:pt>
                <c:pt idx="4">
                  <c:v>95.23</c:v>
                </c:pt>
                <c:pt idx="5">
                  <c:v>266.66000000000003</c:v>
                </c:pt>
                <c:pt idx="6">
                  <c:v>189.89</c:v>
                </c:pt>
                <c:pt idx="7">
                  <c:v>166.27</c:v>
                </c:pt>
                <c:pt idx="8">
                  <c:v>190.32</c:v>
                </c:pt>
                <c:pt idx="9">
                  <c:v>147.82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3CA-4833-BEC2-0EACE4BD200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11373578302709"/>
          <c:y val="0.3250700521281758"/>
          <c:w val="0.23721959755030622"/>
          <c:h val="0.55217905167420678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most no matches played by a  player in all seasons </a:t>
            </a:r>
          </a:p>
        </c:rich>
      </c:tx>
      <c:layout>
        <c:manualLayout>
          <c:xMode val="edge"/>
          <c:yMode val="edge"/>
          <c:x val="0.14057774341333587"/>
          <c:y val="0.132954527156498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798981587975662"/>
          <c:y val="0.34626547831827764"/>
          <c:w val="0.37724866554602021"/>
          <c:h val="0.61794720061832764"/>
        </c:manualLayout>
      </c:layout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explosion val="7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824-4853-9748-24C2554286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824-4853-9748-24C2554286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824-4853-9748-24C2554286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824-4853-9748-24C2554286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824-4853-9748-24C2554286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824-4853-9748-24C2554286F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Sheet1!$A$4:$A$10</c:f>
              <c:strCache>
                <c:ptCount val="6"/>
                <c:pt idx="0">
                  <c:v>S Dhawan</c:v>
                </c:pt>
                <c:pt idx="1">
                  <c:v>SK Raina</c:v>
                </c:pt>
                <c:pt idx="2">
                  <c:v>MS Dhoni</c:v>
                </c:pt>
                <c:pt idx="3">
                  <c:v>RG Sharma</c:v>
                </c:pt>
                <c:pt idx="4">
                  <c:v>JJ Bumrah</c:v>
                </c:pt>
                <c:pt idx="5">
                  <c:v>KD Karthik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6"/>
                <c:pt idx="0">
                  <c:v>63</c:v>
                </c:pt>
                <c:pt idx="1">
                  <c:v>61</c:v>
                </c:pt>
                <c:pt idx="2">
                  <c:v>61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24-4853-9748-24C2554286F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 no of runs scored by a team in all seasons</a:t>
            </a:r>
          </a:p>
        </c:rich>
      </c:tx>
      <c:layout>
        <c:manualLayout>
          <c:xMode val="edge"/>
          <c:yMode val="edge"/>
          <c:x val="0.21099845990325586"/>
          <c:y val="5.60407958264476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5.187640505814598E-17"/>
              <c:y val="-1.38888888888888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-2.8296547821166336E-3"/>
              <c:y val="-2.7777777777777776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0"/>
              <c:y val="-2.314814814814814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1.0100893414627432E-16"/>
              <c:y val="-1.851851851851851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"/>
              <c:y val="-4.6296296296296294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2.6799852497776623E-3"/>
              <c:y val="4.6296296296295869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2.8296566235005748E-3"/>
              <c:y val="-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"/>
              <c:y val="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  <c:dLbl>
          <c:idx val="0"/>
          <c:layout>
            <c:manualLayout>
              <c:x val="-1.0100893414627432E-16"/>
              <c:y val="-0.22685185185185189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0"/>
              <c:y val="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dLbl>
          <c:idx val="0"/>
          <c:layout>
            <c:manualLayout>
              <c:x val="-5.187640505814598E-17"/>
              <c:y val="-1.38888888888888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2.8296547821166336E-3"/>
              <c:y val="-2.7777777777777776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0"/>
              <c:y val="-2.314814814814814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layout>
            <c:manualLayout>
              <c:x val="-1.0100893414627432E-16"/>
              <c:y val="-1.851851851851851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0"/>
              <c:y val="-4.6296296296296294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layout>
            <c:manualLayout>
              <c:x val="2.6799852497776623E-3"/>
              <c:y val="4.6296296296295869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layout>
            <c:manualLayout>
              <c:x val="-2.8296566235005748E-3"/>
              <c:y val="-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</c:pivotFmt>
      <c:pivotFmt>
        <c:idx val="25"/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</c:pivotFmts>
    <c:plotArea>
      <c:layout>
        <c:manualLayout>
          <c:layoutTarget val="inner"/>
          <c:xMode val="edge"/>
          <c:yMode val="edge"/>
          <c:x val="0.14435450449848269"/>
          <c:y val="0.21235892388451444"/>
          <c:w val="0.790827462356679"/>
          <c:h val="0.37908537474482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Sheet1!$L$2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2D15-43E6-8C7D-02AF27B5DDD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15-43E6-8C7D-02AF27B5DDD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15-43E6-8C7D-02AF27B5DDD9}"/>
              </c:ext>
            </c:extLst>
          </c:dPt>
          <c:dPt>
            <c:idx val="3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2D15-43E6-8C7D-02AF27B5DDD9}"/>
              </c:ext>
            </c:extLst>
          </c:dPt>
          <c:dPt>
            <c:idx val="4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2D15-43E6-8C7D-02AF27B5DDD9}"/>
              </c:ext>
            </c:extLst>
          </c:dPt>
          <c:dPt>
            <c:idx val="5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2D15-43E6-8C7D-02AF27B5DDD9}"/>
              </c:ext>
            </c:extLst>
          </c:dPt>
          <c:dPt>
            <c:idx val="6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D-2D15-43E6-8C7D-02AF27B5DDD9}"/>
              </c:ext>
            </c:extLst>
          </c:dPt>
          <c:dPt>
            <c:idx val="7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F-2D15-43E6-8C7D-02AF27B5DDD9}"/>
              </c:ext>
            </c:extLst>
          </c:dPt>
          <c:dPt>
            <c:idx val="8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1-2D15-43E6-8C7D-02AF27B5DDD9}"/>
              </c:ext>
            </c:extLst>
          </c:dPt>
          <c:dPt>
            <c:idx val="9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3-2D15-43E6-8C7D-02AF27B5DDD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2D15-43E6-8C7D-02AF27B5DDD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2D15-43E6-8C7D-02AF27B5DDD9}"/>
              </c:ext>
            </c:extLst>
          </c:dPt>
          <c:dLbls>
            <c:dLbl>
              <c:idx val="0"/>
              <c:layout>
                <c:manualLayout>
                  <c:x val="0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15-43E6-8C7D-02AF27B5DDD9}"/>
                </c:ext>
              </c:extLst>
            </c:dLbl>
            <c:dLbl>
              <c:idx val="3"/>
              <c:layout>
                <c:manualLayout>
                  <c:x val="-5.187640505814598E-17"/>
                  <c:y val="-1.3888888888888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15-43E6-8C7D-02AF27B5DDD9}"/>
                </c:ext>
              </c:extLst>
            </c:dLbl>
            <c:dLbl>
              <c:idx val="4"/>
              <c:layout>
                <c:manualLayout>
                  <c:x val="-2.8296547821166336E-3"/>
                  <c:y val="-2.77777777777777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15-43E6-8C7D-02AF27B5DDD9}"/>
                </c:ext>
              </c:extLst>
            </c:dLbl>
            <c:dLbl>
              <c:idx val="5"/>
              <c:layout>
                <c:manualLayout>
                  <c:x val="0"/>
                  <c:y val="-2.31481481481481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15-43E6-8C7D-02AF27B5DDD9}"/>
                </c:ext>
              </c:extLst>
            </c:dLbl>
            <c:dLbl>
              <c:idx val="6"/>
              <c:layout>
                <c:manualLayout>
                  <c:x val="-1.0100893414627432E-16"/>
                  <c:y val="-1.85185185185185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D15-43E6-8C7D-02AF27B5DDD9}"/>
                </c:ext>
              </c:extLst>
            </c:dLbl>
            <c:dLbl>
              <c:idx val="7"/>
              <c:layout>
                <c:manualLayout>
                  <c:x val="0"/>
                  <c:y val="-4.62962962962962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D15-43E6-8C7D-02AF27B5DDD9}"/>
                </c:ext>
              </c:extLst>
            </c:dLbl>
            <c:dLbl>
              <c:idx val="8"/>
              <c:layout>
                <c:manualLayout>
                  <c:x val="2.6799852497776623E-3"/>
                  <c:y val="4.62962962962958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D15-43E6-8C7D-02AF27B5DDD9}"/>
                </c:ext>
              </c:extLst>
            </c:dLbl>
            <c:dLbl>
              <c:idx val="9"/>
              <c:layout>
                <c:manualLayout>
                  <c:x val="-2.829656623500574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D15-43E6-8C7D-02AF27B5DD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Sheet1!$K$3:$K$15</c:f>
              <c:strCache>
                <c:ptCount val="12"/>
                <c:pt idx="0">
                  <c:v>Sunrisers Hyderabad</c:v>
                </c:pt>
                <c:pt idx="1">
                  <c:v>Mumbai Indians</c:v>
                </c:pt>
                <c:pt idx="2">
                  <c:v>Kolkata Knight Riders</c:v>
                </c:pt>
                <c:pt idx="3">
                  <c:v>Royal Challengers Bangalore</c:v>
                </c:pt>
                <c:pt idx="4">
                  <c:v>Kings XI Punjab</c:v>
                </c:pt>
                <c:pt idx="5">
                  <c:v>Delhi Daredevils</c:v>
                </c:pt>
                <c:pt idx="6">
                  <c:v>Chennai Super Kings</c:v>
                </c:pt>
                <c:pt idx="7">
                  <c:v>Gujarat Lions</c:v>
                </c:pt>
                <c:pt idx="8">
                  <c:v>Rajasthan Royals</c:v>
                </c:pt>
                <c:pt idx="9">
                  <c:v>Delhi Capitals</c:v>
                </c:pt>
                <c:pt idx="10">
                  <c:v>Rising Pune Supergiant</c:v>
                </c:pt>
                <c:pt idx="11">
                  <c:v>Rising Pune Supergiants</c:v>
                </c:pt>
              </c:strCache>
            </c:strRef>
          </c:cat>
          <c:val>
            <c:numRef>
              <c:f>Sheet1!$L$3:$L$15</c:f>
              <c:numCache>
                <c:formatCode>General</c:formatCode>
                <c:ptCount val="12"/>
                <c:pt idx="0">
                  <c:v>9756</c:v>
                </c:pt>
                <c:pt idx="1">
                  <c:v>9522</c:v>
                </c:pt>
                <c:pt idx="2">
                  <c:v>9494</c:v>
                </c:pt>
                <c:pt idx="3">
                  <c:v>8992</c:v>
                </c:pt>
                <c:pt idx="4">
                  <c:v>8600</c:v>
                </c:pt>
                <c:pt idx="5">
                  <c:v>6376</c:v>
                </c:pt>
                <c:pt idx="6">
                  <c:v>5044</c:v>
                </c:pt>
                <c:pt idx="7">
                  <c:v>4627</c:v>
                </c:pt>
                <c:pt idx="8">
                  <c:v>4379</c:v>
                </c:pt>
                <c:pt idx="9">
                  <c:v>2418</c:v>
                </c:pt>
                <c:pt idx="10">
                  <c:v>2370</c:v>
                </c:pt>
                <c:pt idx="11">
                  <c:v>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D15-43E6-8C7D-02AF27B5DD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086241455"/>
        <c:axId val="2086261007"/>
      </c:barChart>
      <c:catAx>
        <c:axId val="20862414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61007"/>
        <c:crosses val="autoZero"/>
        <c:auto val="1"/>
        <c:lblAlgn val="ctr"/>
        <c:lblOffset val="100"/>
        <c:noMultiLvlLbl val="0"/>
      </c:catAx>
      <c:valAx>
        <c:axId val="20862610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4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Top 5 teams who have most no of 100s</a:t>
            </a:r>
          </a:p>
        </c:rich>
      </c:tx>
      <c:layout>
        <c:manualLayout>
          <c:xMode val="edge"/>
          <c:yMode val="edge"/>
          <c:x val="0.18462489063867019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Sheet1!$W$3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Sheet1!$V$4:$V$10</c:f>
              <c:strCache>
                <c:ptCount val="6"/>
                <c:pt idx="0">
                  <c:v>Kings XI Punjab</c:v>
                </c:pt>
                <c:pt idx="1">
                  <c:v>Kolkata Knight Riders</c:v>
                </c:pt>
                <c:pt idx="2">
                  <c:v>Mumbai Indians</c:v>
                </c:pt>
                <c:pt idx="3">
                  <c:v>Delhi Daredevils</c:v>
                </c:pt>
                <c:pt idx="4">
                  <c:v>Rajasthan Royals</c:v>
                </c:pt>
                <c:pt idx="5">
                  <c:v>Chennai Super Kings</c:v>
                </c:pt>
              </c:strCache>
            </c:strRef>
          </c:cat>
          <c:val>
            <c:numRef>
              <c:f>Sheet1!$W$4:$W$10</c:f>
              <c:numCache>
                <c:formatCode>General</c:formatCode>
                <c:ptCount val="6"/>
                <c:pt idx="0">
                  <c:v>79</c:v>
                </c:pt>
                <c:pt idx="1">
                  <c:v>74</c:v>
                </c:pt>
                <c:pt idx="2">
                  <c:v>73</c:v>
                </c:pt>
                <c:pt idx="3">
                  <c:v>59</c:v>
                </c:pt>
                <c:pt idx="4">
                  <c:v>40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0-45CD-9768-5AF2CAB4E3E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00480"/>
        <c:axId val="655402976"/>
      </c:lineChart>
      <c:catAx>
        <c:axId val="65540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02976"/>
        <c:crosses val="autoZero"/>
        <c:auto val="1"/>
        <c:lblAlgn val="ctr"/>
        <c:lblOffset val="100"/>
        <c:noMultiLvlLbl val="0"/>
      </c:catAx>
      <c:valAx>
        <c:axId val="655402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1000"/>
              <a:t>Top 6 batsman who have most no of 6s in IPL Career</a:t>
            </a:r>
          </a:p>
        </c:rich>
      </c:tx>
      <c:layout>
        <c:manualLayout>
          <c:xMode val="edge"/>
          <c:yMode val="edge"/>
          <c:x val="0.15923600174978131"/>
          <c:y val="3.6016331291921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Sheet1!$AD$2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Sheet1!$AC$3:$AC$32</c:f>
              <c:multiLvlStrCache>
                <c:ptCount val="23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2018</c:v>
                  </c:pt>
                  <c:pt idx="6">
                    <c:v>IPL 2019</c:v>
                  </c:pt>
                  <c:pt idx="7">
                    <c:v>IPL 2016</c:v>
                  </c:pt>
                  <c:pt idx="8">
                    <c:v>IPL 2017</c:v>
                  </c:pt>
                  <c:pt idx="9">
                    <c:v>IPL 2018</c:v>
                  </c:pt>
                  <c:pt idx="10">
                    <c:v>IPL 2019</c:v>
                  </c:pt>
                  <c:pt idx="11">
                    <c:v>IPL 2016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2016</c:v>
                  </c:pt>
                  <c:pt idx="16">
                    <c:v>IPL 2017</c:v>
                  </c:pt>
                  <c:pt idx="17">
                    <c:v>IPL 2018</c:v>
                  </c:pt>
                  <c:pt idx="18">
                    <c:v>IPL 2019</c:v>
                  </c:pt>
                  <c:pt idx="19">
                    <c:v>IPL 2016</c:v>
                  </c:pt>
                  <c:pt idx="20">
                    <c:v>IPL 2017</c:v>
                  </c:pt>
                  <c:pt idx="21">
                    <c:v>IPL 2018</c:v>
                  </c:pt>
                  <c:pt idx="22">
                    <c:v>IPL 2019</c:v>
                  </c:pt>
                </c:lvl>
                <c:lvl>
                  <c:pt idx="0">
                    <c:v>AB de Villiers</c:v>
                  </c:pt>
                  <c:pt idx="4">
                    <c:v>AD Russell</c:v>
                  </c:pt>
                  <c:pt idx="7">
                    <c:v>CH Gayle</c:v>
                  </c:pt>
                  <c:pt idx="11">
                    <c:v>RR Pant</c:v>
                  </c:pt>
                  <c:pt idx="15">
                    <c:v>MS Dhoni</c:v>
                  </c:pt>
                  <c:pt idx="19">
                    <c:v>V Kohli</c:v>
                  </c:pt>
                </c:lvl>
              </c:multiLvlStrCache>
            </c:multiLvlStrRef>
          </c:cat>
          <c:val>
            <c:numRef>
              <c:f>Sheet1!$AD$3:$AD$32</c:f>
              <c:numCache>
                <c:formatCode>General</c:formatCode>
                <c:ptCount val="23"/>
                <c:pt idx="0">
                  <c:v>37</c:v>
                </c:pt>
                <c:pt idx="1">
                  <c:v>16</c:v>
                </c:pt>
                <c:pt idx="2">
                  <c:v>30</c:v>
                </c:pt>
                <c:pt idx="3">
                  <c:v>26</c:v>
                </c:pt>
                <c:pt idx="4">
                  <c:v>15</c:v>
                </c:pt>
                <c:pt idx="5">
                  <c:v>31</c:v>
                </c:pt>
                <c:pt idx="6">
                  <c:v>52</c:v>
                </c:pt>
                <c:pt idx="7">
                  <c:v>21</c:v>
                </c:pt>
                <c:pt idx="8">
                  <c:v>14</c:v>
                </c:pt>
                <c:pt idx="9">
                  <c:v>27</c:v>
                </c:pt>
                <c:pt idx="10">
                  <c:v>34</c:v>
                </c:pt>
                <c:pt idx="11">
                  <c:v>6</c:v>
                </c:pt>
                <c:pt idx="12">
                  <c:v>24</c:v>
                </c:pt>
                <c:pt idx="13">
                  <c:v>37</c:v>
                </c:pt>
                <c:pt idx="14">
                  <c:v>27</c:v>
                </c:pt>
                <c:pt idx="15">
                  <c:v>14</c:v>
                </c:pt>
                <c:pt idx="16">
                  <c:v>16</c:v>
                </c:pt>
                <c:pt idx="17">
                  <c:v>30</c:v>
                </c:pt>
                <c:pt idx="18">
                  <c:v>23</c:v>
                </c:pt>
                <c:pt idx="19">
                  <c:v>38</c:v>
                </c:pt>
                <c:pt idx="20">
                  <c:v>11</c:v>
                </c:pt>
                <c:pt idx="21">
                  <c:v>18</c:v>
                </c:pt>
                <c:pt idx="2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7A-4FD1-B625-544A1C33A8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823010016"/>
        <c:axId val="822999616"/>
      </c:barChart>
      <c:catAx>
        <c:axId val="82301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999616"/>
        <c:crosses val="autoZero"/>
        <c:auto val="1"/>
        <c:lblAlgn val="ctr"/>
        <c:lblOffset val="100"/>
        <c:noMultiLvlLbl val="0"/>
      </c:catAx>
      <c:valAx>
        <c:axId val="822999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0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/>
              <a:t>most no matches played by a  player in all seasons </a:t>
            </a:r>
          </a:p>
        </c:rich>
      </c:tx>
      <c:layout>
        <c:manualLayout>
          <c:xMode val="edge"/>
          <c:yMode val="edge"/>
          <c:x val="0.15366781305508506"/>
          <c:y val="8.5825370836852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798981587975662"/>
          <c:y val="0.34626547831827764"/>
          <c:w val="0.37724866554602021"/>
          <c:h val="0.61794720061832764"/>
        </c:manualLayout>
      </c:layout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explosion val="7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7DD-4B78-A4CB-09021059B2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7DD-4B78-A4CB-09021059B2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7DD-4B78-A4CB-09021059B2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7DD-4B78-A4CB-09021059B2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7DD-4B78-A4CB-09021059B2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7DD-4B78-A4CB-09021059B29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Sheet1!$A$4:$A$10</c:f>
              <c:strCache>
                <c:ptCount val="6"/>
                <c:pt idx="0">
                  <c:v>S Dhawan</c:v>
                </c:pt>
                <c:pt idx="1">
                  <c:v>SK Raina</c:v>
                </c:pt>
                <c:pt idx="2">
                  <c:v>MS Dhoni</c:v>
                </c:pt>
                <c:pt idx="3">
                  <c:v>RG Sharma</c:v>
                </c:pt>
                <c:pt idx="4">
                  <c:v>JJ Bumrah</c:v>
                </c:pt>
                <c:pt idx="5">
                  <c:v>KD Karthik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6"/>
                <c:pt idx="0">
                  <c:v>63</c:v>
                </c:pt>
                <c:pt idx="1">
                  <c:v>61</c:v>
                </c:pt>
                <c:pt idx="2">
                  <c:v>61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DD-4B78-A4CB-09021059B29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/>
              <a:t>Most no of runs scored by a team in all seasons</a:t>
            </a:r>
          </a:p>
        </c:rich>
      </c:tx>
      <c:layout>
        <c:manualLayout>
          <c:xMode val="edge"/>
          <c:yMode val="edge"/>
          <c:x val="0.21099845990325586"/>
          <c:y val="5.60407958264476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5.187640505814598E-17"/>
              <c:y val="-1.38888888888888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-2.8296547821166336E-3"/>
              <c:y val="-2.7777777777777776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0"/>
              <c:y val="-2.314814814814814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1.0100893414627432E-16"/>
              <c:y val="-1.851851851851851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"/>
              <c:y val="-4.6296296296296294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2.6799852497776623E-3"/>
              <c:y val="4.6296296296295869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2.8296566235005748E-3"/>
              <c:y val="-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"/>
              <c:y val="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  <c:dLbl>
          <c:idx val="0"/>
          <c:layout>
            <c:manualLayout>
              <c:x val="-1.0100893414627432E-16"/>
              <c:y val="-0.22685185185185189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0"/>
              <c:y val="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dLbl>
          <c:idx val="0"/>
          <c:layout>
            <c:manualLayout>
              <c:x val="-5.187640505814598E-17"/>
              <c:y val="-1.38888888888888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layout>
            <c:manualLayout>
              <c:x val="-2.8296547821166336E-3"/>
              <c:y val="-2.7777777777777776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0"/>
              <c:y val="-2.314814814814814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layout>
            <c:manualLayout>
              <c:x val="-1.0100893414627432E-16"/>
              <c:y val="-1.8518518518518517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0"/>
              <c:y val="-4.6296296296296294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layout>
            <c:manualLayout>
              <c:x val="2.6799852497776623E-3"/>
              <c:y val="4.6296296296295869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layout>
            <c:manualLayout>
              <c:x val="-2.8296566235005748E-3"/>
              <c:y val="-9.2592592592592587E-3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</c:pivotFmt>
      <c:pivotFmt>
        <c:idx val="25"/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5.187640505814598E-17"/>
              <c:y val="-1.38888888888888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47821166336E-3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2.31481481481481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1.0100893414627432E-16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0"/>
              <c:y val="-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2.6799852497776623E-3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dLbl>
          <c:idx val="0"/>
          <c:layout>
            <c:manualLayout>
              <c:x val="-2.8296566235005748E-3"/>
              <c:y val="-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435450449848269"/>
          <c:y val="0.21235892388451444"/>
          <c:w val="0.790827462356679"/>
          <c:h val="0.379085374744823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Sheet1!$L$2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0CE8-4799-8B88-9724570B5E0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CE8-4799-8B88-9724570B5E0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CE8-4799-8B88-9724570B5E02}"/>
              </c:ext>
            </c:extLst>
          </c:dPt>
          <c:dPt>
            <c:idx val="3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0CE8-4799-8B88-9724570B5E02}"/>
              </c:ext>
            </c:extLst>
          </c:dPt>
          <c:dPt>
            <c:idx val="4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0CE8-4799-8B88-9724570B5E02}"/>
              </c:ext>
            </c:extLst>
          </c:dPt>
          <c:dPt>
            <c:idx val="5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0CE8-4799-8B88-9724570B5E02}"/>
              </c:ext>
            </c:extLst>
          </c:dPt>
          <c:dPt>
            <c:idx val="6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0CE8-4799-8B88-9724570B5E02}"/>
              </c:ext>
            </c:extLst>
          </c:dPt>
          <c:dPt>
            <c:idx val="7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D-0CE8-4799-8B88-9724570B5E02}"/>
              </c:ext>
            </c:extLst>
          </c:dPt>
          <c:dPt>
            <c:idx val="8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F-0CE8-4799-8B88-9724570B5E02}"/>
              </c:ext>
            </c:extLst>
          </c:dPt>
          <c:dPt>
            <c:idx val="9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1-0CE8-4799-8B88-9724570B5E0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0CE8-4799-8B88-9724570B5E0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0CE8-4799-8B88-9724570B5E02}"/>
              </c:ext>
            </c:extLst>
          </c:dPt>
          <c:dLbls>
            <c:dLbl>
              <c:idx val="0"/>
              <c:layout>
                <c:manualLayout>
                  <c:x val="0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E8-4799-8B88-9724570B5E02}"/>
                </c:ext>
              </c:extLst>
            </c:dLbl>
            <c:dLbl>
              <c:idx val="3"/>
              <c:layout>
                <c:manualLayout>
                  <c:x val="-5.187640505814598E-17"/>
                  <c:y val="-1.388888888888888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E8-4799-8B88-9724570B5E02}"/>
                </c:ext>
              </c:extLst>
            </c:dLbl>
            <c:dLbl>
              <c:idx val="4"/>
              <c:layout>
                <c:manualLayout>
                  <c:x val="-2.8296547821166336E-3"/>
                  <c:y val="-2.77777777777777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E8-4799-8B88-9724570B5E02}"/>
                </c:ext>
              </c:extLst>
            </c:dLbl>
            <c:dLbl>
              <c:idx val="5"/>
              <c:layout>
                <c:manualLayout>
                  <c:x val="0"/>
                  <c:y val="-2.31481481481481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E8-4799-8B88-9724570B5E02}"/>
                </c:ext>
              </c:extLst>
            </c:dLbl>
            <c:dLbl>
              <c:idx val="6"/>
              <c:layout>
                <c:manualLayout>
                  <c:x val="-1.0100893414627432E-16"/>
                  <c:y val="-1.85185185185185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E8-4799-8B88-9724570B5E02}"/>
                </c:ext>
              </c:extLst>
            </c:dLbl>
            <c:dLbl>
              <c:idx val="7"/>
              <c:layout>
                <c:manualLayout>
                  <c:x val="0"/>
                  <c:y val="-4.62962962962962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E8-4799-8B88-9724570B5E02}"/>
                </c:ext>
              </c:extLst>
            </c:dLbl>
            <c:dLbl>
              <c:idx val="8"/>
              <c:layout>
                <c:manualLayout>
                  <c:x val="2.6799852497776623E-3"/>
                  <c:y val="4.62962962962958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E8-4799-8B88-9724570B5E02}"/>
                </c:ext>
              </c:extLst>
            </c:dLbl>
            <c:dLbl>
              <c:idx val="9"/>
              <c:layout>
                <c:manualLayout>
                  <c:x val="-2.829656623500574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CE8-4799-8B88-9724570B5E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Sheet1!$K$3:$K$15</c:f>
              <c:strCache>
                <c:ptCount val="12"/>
                <c:pt idx="0">
                  <c:v>Sunrisers Hyderabad</c:v>
                </c:pt>
                <c:pt idx="1">
                  <c:v>Mumbai Indians</c:v>
                </c:pt>
                <c:pt idx="2">
                  <c:v>Kolkata Knight Riders</c:v>
                </c:pt>
                <c:pt idx="3">
                  <c:v>Royal Challengers Bangalore</c:v>
                </c:pt>
                <c:pt idx="4">
                  <c:v>Kings XI Punjab</c:v>
                </c:pt>
                <c:pt idx="5">
                  <c:v>Delhi Daredevils</c:v>
                </c:pt>
                <c:pt idx="6">
                  <c:v>Chennai Super Kings</c:v>
                </c:pt>
                <c:pt idx="7">
                  <c:v>Gujarat Lions</c:v>
                </c:pt>
                <c:pt idx="8">
                  <c:v>Rajasthan Royals</c:v>
                </c:pt>
                <c:pt idx="9">
                  <c:v>Delhi Capitals</c:v>
                </c:pt>
                <c:pt idx="10">
                  <c:v>Rising Pune Supergiant</c:v>
                </c:pt>
                <c:pt idx="11">
                  <c:v>Rising Pune Supergiants</c:v>
                </c:pt>
              </c:strCache>
            </c:strRef>
          </c:cat>
          <c:val>
            <c:numRef>
              <c:f>Sheet1!$L$3:$L$15</c:f>
              <c:numCache>
                <c:formatCode>General</c:formatCode>
                <c:ptCount val="12"/>
                <c:pt idx="0">
                  <c:v>9756</c:v>
                </c:pt>
                <c:pt idx="1">
                  <c:v>9522</c:v>
                </c:pt>
                <c:pt idx="2">
                  <c:v>9494</c:v>
                </c:pt>
                <c:pt idx="3">
                  <c:v>8992</c:v>
                </c:pt>
                <c:pt idx="4">
                  <c:v>8600</c:v>
                </c:pt>
                <c:pt idx="5">
                  <c:v>6376</c:v>
                </c:pt>
                <c:pt idx="6">
                  <c:v>5044</c:v>
                </c:pt>
                <c:pt idx="7">
                  <c:v>4627</c:v>
                </c:pt>
                <c:pt idx="8">
                  <c:v>4379</c:v>
                </c:pt>
                <c:pt idx="9">
                  <c:v>2418</c:v>
                </c:pt>
                <c:pt idx="10">
                  <c:v>2370</c:v>
                </c:pt>
                <c:pt idx="11">
                  <c:v>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E8-4799-8B88-9724570B5E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086241455"/>
        <c:axId val="2086261007"/>
      </c:barChart>
      <c:catAx>
        <c:axId val="20862414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61007"/>
        <c:crosses val="autoZero"/>
        <c:auto val="1"/>
        <c:lblAlgn val="ctr"/>
        <c:lblOffset val="100"/>
        <c:noMultiLvlLbl val="0"/>
      </c:catAx>
      <c:valAx>
        <c:axId val="20862610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4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Top 5 teams who have most no of 100s</a:t>
            </a:r>
          </a:p>
        </c:rich>
      </c:tx>
      <c:layout>
        <c:manualLayout>
          <c:xMode val="edge"/>
          <c:yMode val="edge"/>
          <c:x val="0.18462489063867019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893054441051347E-2"/>
          <c:y val="0.17918916551647734"/>
          <c:w val="0.94866410930392275"/>
          <c:h val="0.6375840739040004"/>
        </c:manualLayout>
      </c:layout>
      <c:lineChart>
        <c:grouping val="standard"/>
        <c:varyColors val="0"/>
        <c:ser>
          <c:idx val="0"/>
          <c:order val="0"/>
          <c:tx>
            <c:strRef>
              <c:f>Sheet1!$W$3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Sheet1!$V$4:$V$10</c:f>
              <c:strCache>
                <c:ptCount val="6"/>
                <c:pt idx="0">
                  <c:v>Kings XI Punjab</c:v>
                </c:pt>
                <c:pt idx="1">
                  <c:v>Kolkata Knight Riders</c:v>
                </c:pt>
                <c:pt idx="2">
                  <c:v>Mumbai Indians</c:v>
                </c:pt>
                <c:pt idx="3">
                  <c:v>Delhi Daredevils</c:v>
                </c:pt>
                <c:pt idx="4">
                  <c:v>Rajasthan Royals</c:v>
                </c:pt>
                <c:pt idx="5">
                  <c:v>Chennai Super Kings</c:v>
                </c:pt>
              </c:strCache>
            </c:strRef>
          </c:cat>
          <c:val>
            <c:numRef>
              <c:f>Sheet1!$W$4:$W$10</c:f>
              <c:numCache>
                <c:formatCode>General</c:formatCode>
                <c:ptCount val="6"/>
                <c:pt idx="0">
                  <c:v>79</c:v>
                </c:pt>
                <c:pt idx="1">
                  <c:v>74</c:v>
                </c:pt>
                <c:pt idx="2">
                  <c:v>73</c:v>
                </c:pt>
                <c:pt idx="3">
                  <c:v>59</c:v>
                </c:pt>
                <c:pt idx="4">
                  <c:v>40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38-4039-8B2E-1F2F44AF2B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00480"/>
        <c:axId val="655402976"/>
      </c:lineChart>
      <c:catAx>
        <c:axId val="65540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02976"/>
        <c:crosses val="autoZero"/>
        <c:auto val="1"/>
        <c:lblAlgn val="ctr"/>
        <c:lblOffset val="100"/>
        <c:noMultiLvlLbl val="0"/>
      </c:catAx>
      <c:valAx>
        <c:axId val="655402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excel.xlsm]Sheet1!PivotTable4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 sz="1000"/>
              <a:t>Top 6 batsman who have most no of 6s in IPL Career</a:t>
            </a:r>
          </a:p>
        </c:rich>
      </c:tx>
      <c:layout>
        <c:manualLayout>
          <c:xMode val="edge"/>
          <c:yMode val="edge"/>
          <c:x val="0.14593804098955715"/>
          <c:y val="3.60161655929372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Sheet1!$AD$2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Sheet1!$AC$3:$AC$32</c:f>
              <c:multiLvlStrCache>
                <c:ptCount val="23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2018</c:v>
                  </c:pt>
                  <c:pt idx="6">
                    <c:v>IPL 2019</c:v>
                  </c:pt>
                  <c:pt idx="7">
                    <c:v>IPL 2016</c:v>
                  </c:pt>
                  <c:pt idx="8">
                    <c:v>IPL 2017</c:v>
                  </c:pt>
                  <c:pt idx="9">
                    <c:v>IPL 2018</c:v>
                  </c:pt>
                  <c:pt idx="10">
                    <c:v>IPL 2019</c:v>
                  </c:pt>
                  <c:pt idx="11">
                    <c:v>IPL 2016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2016</c:v>
                  </c:pt>
                  <c:pt idx="16">
                    <c:v>IPL 2017</c:v>
                  </c:pt>
                  <c:pt idx="17">
                    <c:v>IPL 2018</c:v>
                  </c:pt>
                  <c:pt idx="18">
                    <c:v>IPL 2019</c:v>
                  </c:pt>
                  <c:pt idx="19">
                    <c:v>IPL 2016</c:v>
                  </c:pt>
                  <c:pt idx="20">
                    <c:v>IPL 2017</c:v>
                  </c:pt>
                  <c:pt idx="21">
                    <c:v>IPL 2018</c:v>
                  </c:pt>
                  <c:pt idx="22">
                    <c:v>IPL 2019</c:v>
                  </c:pt>
                </c:lvl>
                <c:lvl>
                  <c:pt idx="0">
                    <c:v>AB de Villiers</c:v>
                  </c:pt>
                  <c:pt idx="4">
                    <c:v>AD Russell</c:v>
                  </c:pt>
                  <c:pt idx="7">
                    <c:v>CH Gayle</c:v>
                  </c:pt>
                  <c:pt idx="11">
                    <c:v>RR Pant</c:v>
                  </c:pt>
                  <c:pt idx="15">
                    <c:v>MS Dhoni</c:v>
                  </c:pt>
                  <c:pt idx="19">
                    <c:v>V Kohli</c:v>
                  </c:pt>
                </c:lvl>
              </c:multiLvlStrCache>
            </c:multiLvlStrRef>
          </c:cat>
          <c:val>
            <c:numRef>
              <c:f>Sheet1!$AD$3:$AD$32</c:f>
              <c:numCache>
                <c:formatCode>General</c:formatCode>
                <c:ptCount val="23"/>
                <c:pt idx="0">
                  <c:v>37</c:v>
                </c:pt>
                <c:pt idx="1">
                  <c:v>16</c:v>
                </c:pt>
                <c:pt idx="2">
                  <c:v>30</c:v>
                </c:pt>
                <c:pt idx="3">
                  <c:v>26</c:v>
                </c:pt>
                <c:pt idx="4">
                  <c:v>15</c:v>
                </c:pt>
                <c:pt idx="5">
                  <c:v>31</c:v>
                </c:pt>
                <c:pt idx="6">
                  <c:v>52</c:v>
                </c:pt>
                <c:pt idx="7">
                  <c:v>21</c:v>
                </c:pt>
                <c:pt idx="8">
                  <c:v>14</c:v>
                </c:pt>
                <c:pt idx="9">
                  <c:v>27</c:v>
                </c:pt>
                <c:pt idx="10">
                  <c:v>34</c:v>
                </c:pt>
                <c:pt idx="11">
                  <c:v>6</c:v>
                </c:pt>
                <c:pt idx="12">
                  <c:v>24</c:v>
                </c:pt>
                <c:pt idx="13">
                  <c:v>37</c:v>
                </c:pt>
                <c:pt idx="14">
                  <c:v>27</c:v>
                </c:pt>
                <c:pt idx="15">
                  <c:v>14</c:v>
                </c:pt>
                <c:pt idx="16">
                  <c:v>16</c:v>
                </c:pt>
                <c:pt idx="17">
                  <c:v>30</c:v>
                </c:pt>
                <c:pt idx="18">
                  <c:v>23</c:v>
                </c:pt>
                <c:pt idx="19">
                  <c:v>38</c:v>
                </c:pt>
                <c:pt idx="20">
                  <c:v>11</c:v>
                </c:pt>
                <c:pt idx="21">
                  <c:v>18</c:v>
                </c:pt>
                <c:pt idx="2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7-46A5-B3C5-58B5B8889F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823010016"/>
        <c:axId val="822999616"/>
      </c:barChart>
      <c:catAx>
        <c:axId val="82301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999616"/>
        <c:crosses val="autoZero"/>
        <c:auto val="1"/>
        <c:lblAlgn val="ctr"/>
        <c:lblOffset val="100"/>
        <c:noMultiLvlLbl val="0"/>
      </c:catAx>
      <c:valAx>
        <c:axId val="822999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0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Most no of  runs scored by Top 5 players in all season</a:t>
            </a:r>
          </a:p>
        </c:rich>
      </c:tx>
      <c:layout>
        <c:manualLayout>
          <c:xMode val="edge"/>
          <c:yMode val="edge"/>
          <c:x val="0.19400678040244967"/>
          <c:y val="0.10083114610673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966666666666667E-2"/>
              <c:y val="-2.7777777777777776E-2"/>
            </c:manualLayout>
          </c:layout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966666666666667E-2"/>
              <c:y val="-3.2407407407407489E-2"/>
            </c:manualLayout>
          </c:layout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Sheet1!$AJ$5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Sheet1!$AI$6:$AI$11</c:f>
              <c:strCache>
                <c:ptCount val="5"/>
                <c:pt idx="0">
                  <c:v>V Kohli</c:v>
                </c:pt>
                <c:pt idx="1">
                  <c:v>PA Patel</c:v>
                </c:pt>
                <c:pt idx="2">
                  <c:v>Q de Kock</c:v>
                </c:pt>
                <c:pt idx="3">
                  <c:v>RG Sharma</c:v>
                </c:pt>
                <c:pt idx="4">
                  <c:v>KS Williamson</c:v>
                </c:pt>
              </c:strCache>
            </c:strRef>
          </c:cat>
          <c:val>
            <c:numRef>
              <c:f>Sheet1!$AJ$6:$AJ$11</c:f>
              <c:numCache>
                <c:formatCode>General</c:formatCode>
                <c:ptCount val="5"/>
                <c:pt idx="0">
                  <c:v>277</c:v>
                </c:pt>
                <c:pt idx="1">
                  <c:v>271</c:v>
                </c:pt>
                <c:pt idx="2">
                  <c:v>242</c:v>
                </c:pt>
                <c:pt idx="3">
                  <c:v>228</c:v>
                </c:pt>
                <c:pt idx="4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0-45CB-945C-3C115CA4E6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17952"/>
        <c:axId val="655420032"/>
      </c:lineChart>
      <c:catAx>
        <c:axId val="65541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20032"/>
        <c:crosses val="autoZero"/>
        <c:auto val="1"/>
        <c:lblAlgn val="ctr"/>
        <c:lblOffset val="100"/>
        <c:noMultiLvlLbl val="0"/>
      </c:catAx>
      <c:valAx>
        <c:axId val="655420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excel.xlsm]Sheet1!PivotTable6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1" i="1"/>
              <a:t>Top 5 players who have best strike rate in season2018-2019</a:t>
            </a:r>
          </a:p>
        </c:rich>
      </c:tx>
      <c:layout>
        <c:manualLayout>
          <c:xMode val="edge"/>
          <c:yMode val="edge"/>
          <c:x val="0.17599300087489064"/>
          <c:y val="9.20461483070083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Sheet1!$AP$3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3A-4494-9064-67FE8656B190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3A-4494-9064-67FE8656B190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23A-4494-9064-67FE8656B190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23A-4494-9064-67FE8656B190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23A-4494-9064-67FE8656B190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23A-4494-9064-67FE8656B190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23A-4494-9064-67FE8656B190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23A-4494-9064-67FE8656B190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23A-4494-9064-67FE8656B190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23A-4494-9064-67FE8656B1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Sheet1!$AO$4:$AO$19</c:f>
              <c:multiLvlStrCache>
                <c:ptCount val="10"/>
                <c:lvl>
                  <c:pt idx="0">
                    <c:v>IPL 2018</c:v>
                  </c:pt>
                  <c:pt idx="1">
                    <c:v>IPL 2019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2018</c:v>
                  </c:pt>
                  <c:pt idx="9">
                    <c:v>IPL 2019</c:v>
                  </c:pt>
                </c:lvl>
                <c:lvl>
                  <c:pt idx="0">
                    <c:v>SN Thakur</c:v>
                  </c:pt>
                  <c:pt idx="2">
                    <c:v>AD Russell</c:v>
                  </c:pt>
                  <c:pt idx="4">
                    <c:v>MK Lomror</c:v>
                  </c:pt>
                  <c:pt idx="6">
                    <c:v>SP Narine</c:v>
                  </c:pt>
                  <c:pt idx="8">
                    <c:v>Rashid Khan</c:v>
                  </c:pt>
                </c:lvl>
              </c:multiLvlStrCache>
            </c:multiLvlStrRef>
          </c:cat>
          <c:val>
            <c:numRef>
              <c:f>Sheet1!$AP$4:$AP$19</c:f>
              <c:numCache>
                <c:formatCode>General</c:formatCode>
                <c:ptCount val="10"/>
                <c:pt idx="0">
                  <c:v>300</c:v>
                </c:pt>
                <c:pt idx="1">
                  <c:v>200</c:v>
                </c:pt>
                <c:pt idx="2">
                  <c:v>184.79</c:v>
                </c:pt>
                <c:pt idx="3">
                  <c:v>204.81</c:v>
                </c:pt>
                <c:pt idx="4">
                  <c:v>95.23</c:v>
                </c:pt>
                <c:pt idx="5">
                  <c:v>266.66000000000003</c:v>
                </c:pt>
                <c:pt idx="6">
                  <c:v>189.89</c:v>
                </c:pt>
                <c:pt idx="7">
                  <c:v>166.27</c:v>
                </c:pt>
                <c:pt idx="8">
                  <c:v>190.32</c:v>
                </c:pt>
                <c:pt idx="9">
                  <c:v>147.82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23A-4494-9064-67FE8656B19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11373578302709"/>
          <c:y val="0.3250700521281758"/>
          <c:w val="0.23721959755030622"/>
          <c:h val="0.55217905167420678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excel.xlsm]Sheet1!PivotTable7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Top</a:t>
            </a:r>
            <a:r>
              <a:rPr lang="en-US" sz="1100" baseline="0"/>
              <a:t> 5 team who won most no of toss</a:t>
            </a:r>
            <a:endParaRPr lang="en-US" sz="1100"/>
          </a:p>
        </c:rich>
      </c:tx>
      <c:layout>
        <c:manualLayout>
          <c:xMode val="edge"/>
          <c:yMode val="edge"/>
          <c:x val="0.21597222222222223"/>
          <c:y val="0.137868183143773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Sheet1!$AN$23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Sheet1!$AM$24:$AM$29</c:f>
              <c:strCache>
                <c:ptCount val="5"/>
                <c:pt idx="0">
                  <c:v>Royal Challengers Bangalore</c:v>
                </c:pt>
                <c:pt idx="1">
                  <c:v>Kings XI Punjab</c:v>
                </c:pt>
                <c:pt idx="2">
                  <c:v>Sunrisers Hyderabad</c:v>
                </c:pt>
                <c:pt idx="3">
                  <c:v>Kolkata Knight Riders</c:v>
                </c:pt>
                <c:pt idx="4">
                  <c:v>Mumbai Indians</c:v>
                </c:pt>
              </c:strCache>
            </c:strRef>
          </c:cat>
          <c:val>
            <c:numRef>
              <c:f>Sheet1!$AN$24:$AN$29</c:f>
              <c:numCache>
                <c:formatCode>General</c:formatCode>
                <c:ptCount val="5"/>
                <c:pt idx="0">
                  <c:v>84</c:v>
                </c:pt>
                <c:pt idx="1">
                  <c:v>79</c:v>
                </c:pt>
                <c:pt idx="2">
                  <c:v>77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8-44DF-BAE2-E5DDEEDAFE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5888080"/>
        <c:axId val="885888912"/>
      </c:barChart>
      <c:catAx>
        <c:axId val="88588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88912"/>
        <c:crosses val="autoZero"/>
        <c:auto val="1"/>
        <c:lblAlgn val="ctr"/>
        <c:lblOffset val="100"/>
        <c:noMultiLvlLbl val="0"/>
      </c:catAx>
      <c:valAx>
        <c:axId val="885888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858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excel.xlsm]Sheet1!PivotTable8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 sz="1400"/>
              <a:t>Bowling</a:t>
            </a:r>
            <a:r>
              <a:rPr lang="en-IN" sz="1400" baseline="0"/>
              <a:t> innings for all teams in all seasons</a:t>
            </a:r>
            <a:endParaRPr lang="en-IN" sz="1400"/>
          </a:p>
        </c:rich>
      </c:tx>
      <c:layout>
        <c:manualLayout>
          <c:xMode val="edge"/>
          <c:yMode val="edge"/>
          <c:x val="0.20619793449731827"/>
          <c:y val="2.3148148148148147E-2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57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57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0276247936540401E-3"/>
              <c:y val="-0.1574074476878235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0276247936540401E-3"/>
              <c:y val="-0.1574074476878235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0276247936540401E-3"/>
              <c:y val="-0.1574074476878235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Sheet1!$AM$31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E-492F-BCDE-D4A7691A3D3D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E-492F-BCDE-D4A7691A3D3D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E-492F-BCDE-D4A7691A3D3D}"/>
              </c:ext>
            </c:extLst>
          </c:dPt>
          <c:dPt>
            <c:idx val="3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DE-492F-BCDE-D4A7691A3D3D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DE-492F-BCDE-D4A7691A3D3D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DE-492F-BCDE-D4A7691A3D3D}"/>
              </c:ext>
            </c:extLst>
          </c:dPt>
          <c:dPt>
            <c:idx val="6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BDE-492F-BCDE-D4A7691A3D3D}"/>
              </c:ext>
            </c:extLst>
          </c:dPt>
          <c:dPt>
            <c:idx val="7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BDE-492F-BCDE-D4A7691A3D3D}"/>
              </c:ext>
            </c:extLst>
          </c:dPt>
          <c:dPt>
            <c:idx val="8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BDE-492F-BCDE-D4A7691A3D3D}"/>
              </c:ext>
            </c:extLst>
          </c:dPt>
          <c:dPt>
            <c:idx val="9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BDE-492F-BCDE-D4A7691A3D3D}"/>
              </c:ext>
            </c:extLst>
          </c:dPt>
          <c:dPt>
            <c:idx val="1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BDE-492F-BCDE-D4A7691A3D3D}"/>
              </c:ext>
            </c:extLst>
          </c:dPt>
          <c:dPt>
            <c:idx val="1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BDE-492F-BCDE-D4A7691A3D3D}"/>
              </c:ext>
            </c:extLst>
          </c:dPt>
          <c:dLbls>
            <c:dLbl>
              <c:idx val="0"/>
              <c:layout>
                <c:manualLayout>
                  <c:x val="-2.8934850927318164E-17"/>
                  <c:y val="-0.12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DE-492F-BCDE-D4A7691A3D3D}"/>
                </c:ext>
              </c:extLst>
            </c:dLbl>
            <c:dLbl>
              <c:idx val="1"/>
              <c:layout>
                <c:manualLayout>
                  <c:x val="3.1565656565656275E-3"/>
                  <c:y val="-0.111111111111111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E-492F-BCDE-D4A7691A3D3D}"/>
                </c:ext>
              </c:extLst>
            </c:dLbl>
            <c:dLbl>
              <c:idx val="2"/>
              <c:layout>
                <c:manualLayout>
                  <c:x val="-5.7869701854636328E-17"/>
                  <c:y val="-0.171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DE-492F-BCDE-D4A7691A3D3D}"/>
                </c:ext>
              </c:extLst>
            </c:dLbl>
            <c:dLbl>
              <c:idx val="3"/>
              <c:layout>
                <c:manualLayout>
                  <c:x val="-3.0276247936540401E-3"/>
                  <c:y val="-0.157407447687823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E-492F-BCDE-D4A7691A3D3D}"/>
                </c:ext>
              </c:extLst>
            </c:dLbl>
            <c:dLbl>
              <c:idx val="4"/>
              <c:layout>
                <c:manualLayout>
                  <c:x val="3.1565656565655988E-3"/>
                  <c:y val="-0.1805555555555556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DE-492F-BCDE-D4A7691A3D3D}"/>
                </c:ext>
              </c:extLst>
            </c:dLbl>
            <c:dLbl>
              <c:idx val="5"/>
              <c:layout>
                <c:manualLayout>
                  <c:x val="3.1565656565656565E-3"/>
                  <c:y val="-0.1759259259259259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E-492F-BCDE-D4A7691A3D3D}"/>
                </c:ext>
              </c:extLst>
            </c:dLbl>
            <c:dLbl>
              <c:idx val="6"/>
              <c:layout>
                <c:manualLayout>
                  <c:x val="3.1565656565656565E-3"/>
                  <c:y val="-0.171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DE-492F-BCDE-D4A7691A3D3D}"/>
                </c:ext>
              </c:extLst>
            </c:dLbl>
            <c:dLbl>
              <c:idx val="7"/>
              <c:layout>
                <c:manualLayout>
                  <c:x val="3.1565656565656565E-3"/>
                  <c:y val="-0.1435185185185185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DE-492F-BCDE-D4A7691A3D3D}"/>
                </c:ext>
              </c:extLst>
            </c:dLbl>
            <c:dLbl>
              <c:idx val="8"/>
              <c:layout>
                <c:manualLayout>
                  <c:x val="-3.1565656565656565E-3"/>
                  <c:y val="-0.1342592592592592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DE-492F-BCDE-D4A7691A3D3D}"/>
                </c:ext>
              </c:extLst>
            </c:dLbl>
            <c:dLbl>
              <c:idx val="9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BDE-492F-BCDE-D4A7691A3D3D}"/>
                </c:ext>
              </c:extLst>
            </c:dLbl>
            <c:dLbl>
              <c:idx val="10"/>
              <c:layout>
                <c:manualLayout>
                  <c:x val="-1.1573940370927266E-16"/>
                  <c:y val="-0.2037037037037036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BDE-492F-BCDE-D4A7691A3D3D}"/>
                </c:ext>
              </c:extLst>
            </c:dLbl>
            <c:dLbl>
              <c:idx val="11"/>
              <c:layout>
                <c:manualLayout>
                  <c:x val="0"/>
                  <c:y val="-0.208333333333333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BDE-492F-BCDE-D4A7691A3D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Sheet1!$AL$32:$AL$44</c:f>
              <c:strCache>
                <c:ptCount val="12"/>
                <c:pt idx="0">
                  <c:v>Chennai Super Kings</c:v>
                </c:pt>
                <c:pt idx="1">
                  <c:v>Delhi Capitals</c:v>
                </c:pt>
                <c:pt idx="2">
                  <c:v>Delhi Daredevils</c:v>
                </c:pt>
                <c:pt idx="3">
                  <c:v>Gujarat Lions</c:v>
                </c:pt>
                <c:pt idx="4">
                  <c:v>Kings XI Punjab</c:v>
                </c:pt>
                <c:pt idx="5">
                  <c:v>Kolkata Knight Riders</c:v>
                </c:pt>
                <c:pt idx="6">
                  <c:v>Mumbai Indians</c:v>
                </c:pt>
                <c:pt idx="7">
                  <c:v>Rajasthan Royals</c:v>
                </c:pt>
                <c:pt idx="8">
                  <c:v>Rising Pune Supergiant</c:v>
                </c:pt>
                <c:pt idx="9">
                  <c:v>Rising Pune Supergiants</c:v>
                </c:pt>
                <c:pt idx="10">
                  <c:v>Royal Challengers Bangalore</c:v>
                </c:pt>
                <c:pt idx="11">
                  <c:v>Sunrisers Hyderabad</c:v>
                </c:pt>
              </c:strCache>
            </c:strRef>
          </c:cat>
          <c:val>
            <c:numRef>
              <c:f>Sheet1!$AM$32:$AM$44</c:f>
              <c:numCache>
                <c:formatCode>General</c:formatCode>
                <c:ptCount val="12"/>
                <c:pt idx="0">
                  <c:v>39</c:v>
                </c:pt>
                <c:pt idx="1">
                  <c:v>20</c:v>
                </c:pt>
                <c:pt idx="2">
                  <c:v>59</c:v>
                </c:pt>
                <c:pt idx="3">
                  <c:v>43</c:v>
                </c:pt>
                <c:pt idx="4">
                  <c:v>79</c:v>
                </c:pt>
                <c:pt idx="5">
                  <c:v>74</c:v>
                </c:pt>
                <c:pt idx="6">
                  <c:v>73</c:v>
                </c:pt>
                <c:pt idx="7">
                  <c:v>40</c:v>
                </c:pt>
                <c:pt idx="8">
                  <c:v>20</c:v>
                </c:pt>
                <c:pt idx="9">
                  <c:v>23</c:v>
                </c:pt>
                <c:pt idx="10">
                  <c:v>84</c:v>
                </c:pt>
                <c:pt idx="11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BDE-492F-BCDE-D4A7691A3D3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5830256"/>
        <c:axId val="885840240"/>
      </c:barChart>
      <c:catAx>
        <c:axId val="88583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40240"/>
        <c:crosses val="autoZero"/>
        <c:auto val="1"/>
        <c:lblAlgn val="ctr"/>
        <c:lblOffset val="100"/>
        <c:noMultiLvlLbl val="0"/>
      </c:catAx>
      <c:valAx>
        <c:axId val="88584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302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excel.xlsm]Sheet1!PivotTable9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Top  6 Bowler who have taken Most No Of Wicket In 2017-2019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Sheet1!$AQ$40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Sheet1!$AP$41:$AP$65</c:f>
              <c:multiLvlStrCache>
                <c:ptCount val="18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2017</c:v>
                  </c:pt>
                  <c:pt idx="16">
                    <c:v>IPL 2018</c:v>
                  </c:pt>
                  <c:pt idx="17">
                    <c:v>IPL 2019</c:v>
                  </c:pt>
                </c:lvl>
                <c:lvl>
                  <c:pt idx="0">
                    <c:v>JJ Bumrah</c:v>
                  </c:pt>
                  <c:pt idx="3">
                    <c:v>Rashid Khan</c:v>
                  </c:pt>
                  <c:pt idx="6">
                    <c:v>Imran Tahir</c:v>
                  </c:pt>
                  <c:pt idx="9">
                    <c:v>B Kumar</c:v>
                  </c:pt>
                  <c:pt idx="12">
                    <c:v>UT Yadav</c:v>
                  </c:pt>
                  <c:pt idx="15">
                    <c:v>JD Unadkat</c:v>
                  </c:pt>
                </c:lvl>
              </c:multiLvlStrCache>
            </c:multiLvlStrRef>
          </c:cat>
          <c:val>
            <c:numRef>
              <c:f>Sheet1!$AQ$41:$AQ$65</c:f>
              <c:numCache>
                <c:formatCode>General</c:formatCode>
                <c:ptCount val="18"/>
                <c:pt idx="0">
                  <c:v>20</c:v>
                </c:pt>
                <c:pt idx="1">
                  <c:v>17</c:v>
                </c:pt>
                <c:pt idx="2">
                  <c:v>19</c:v>
                </c:pt>
                <c:pt idx="3">
                  <c:v>17</c:v>
                </c:pt>
                <c:pt idx="4">
                  <c:v>21</c:v>
                </c:pt>
                <c:pt idx="5">
                  <c:v>17</c:v>
                </c:pt>
                <c:pt idx="6">
                  <c:v>18</c:v>
                </c:pt>
                <c:pt idx="7">
                  <c:v>6</c:v>
                </c:pt>
                <c:pt idx="8">
                  <c:v>26</c:v>
                </c:pt>
                <c:pt idx="9">
                  <c:v>26</c:v>
                </c:pt>
                <c:pt idx="10">
                  <c:v>9</c:v>
                </c:pt>
                <c:pt idx="11">
                  <c:v>13</c:v>
                </c:pt>
                <c:pt idx="12">
                  <c:v>17</c:v>
                </c:pt>
                <c:pt idx="13">
                  <c:v>20</c:v>
                </c:pt>
                <c:pt idx="14">
                  <c:v>8</c:v>
                </c:pt>
                <c:pt idx="15">
                  <c:v>24</c:v>
                </c:pt>
                <c:pt idx="16">
                  <c:v>11</c:v>
                </c:pt>
                <c:pt idx="1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8-4F25-B2E3-5BC39D02024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27642255"/>
        <c:axId val="727650991"/>
      </c:barChart>
      <c:catAx>
        <c:axId val="727642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50991"/>
        <c:crosses val="autoZero"/>
        <c:auto val="1"/>
        <c:lblAlgn val="ctr"/>
        <c:lblOffset val="100"/>
        <c:noMultiLvlLbl val="0"/>
      </c:catAx>
      <c:valAx>
        <c:axId val="72765099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2764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Top 5 bowler who have highest economy rate in seasons 2017-2019</a:t>
            </a:r>
          </a:p>
        </c:rich>
      </c:tx>
      <c:layout>
        <c:manualLayout>
          <c:xMode val="edge"/>
          <c:yMode val="edge"/>
          <c:x val="0.10332063083951241"/>
          <c:y val="5.3606237816764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Sheet1!$BK$42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multiLvlStrRef>
              <c:f>Sheet1!$BJ$43:$BJ$63</c:f>
              <c:multiLvlStrCache>
                <c:ptCount val="15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</c:lvl>
                <c:lvl>
                  <c:pt idx="0">
                    <c:v>BB Sran</c:v>
                  </c:pt>
                  <c:pt idx="3">
                    <c:v>BCJ Cutting</c:v>
                  </c:pt>
                  <c:pt idx="6">
                    <c:v>TG Southee</c:v>
                  </c:pt>
                  <c:pt idx="9">
                    <c:v>STR Binny</c:v>
                  </c:pt>
                  <c:pt idx="12">
                    <c:v>MP Stoinis</c:v>
                  </c:pt>
                </c:lvl>
              </c:multiLvlStrCache>
            </c:multiLvlStrRef>
          </c:cat>
          <c:val>
            <c:numRef>
              <c:f>Sheet1!$BK$43:$BK$63</c:f>
              <c:numCache>
                <c:formatCode>General</c:formatCode>
                <c:ptCount val="15"/>
                <c:pt idx="0">
                  <c:v>14.5</c:v>
                </c:pt>
                <c:pt idx="1">
                  <c:v>10.4</c:v>
                </c:pt>
                <c:pt idx="2">
                  <c:v>12.75</c:v>
                </c:pt>
                <c:pt idx="3">
                  <c:v>9.7100000000000009</c:v>
                </c:pt>
                <c:pt idx="4">
                  <c:v>9.8800000000000008</c:v>
                </c:pt>
                <c:pt idx="5">
                  <c:v>13.5</c:v>
                </c:pt>
                <c:pt idx="6">
                  <c:v>9.6</c:v>
                </c:pt>
                <c:pt idx="7">
                  <c:v>9</c:v>
                </c:pt>
                <c:pt idx="8">
                  <c:v>13.11</c:v>
                </c:pt>
                <c:pt idx="9">
                  <c:v>8.33</c:v>
                </c:pt>
                <c:pt idx="10">
                  <c:v>16.5</c:v>
                </c:pt>
                <c:pt idx="11">
                  <c:v>6.28</c:v>
                </c:pt>
                <c:pt idx="12">
                  <c:v>10.47</c:v>
                </c:pt>
                <c:pt idx="13">
                  <c:v>10.9</c:v>
                </c:pt>
                <c:pt idx="14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7-4AEC-8516-99152F34A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66847"/>
        <c:axId val="646676415"/>
      </c:lineChart>
      <c:catAx>
        <c:axId val="646666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76415"/>
        <c:crosses val="autoZero"/>
        <c:auto val="1"/>
        <c:lblAlgn val="ctr"/>
        <c:lblOffset val="100"/>
        <c:noMultiLvlLbl val="0"/>
      </c:catAx>
      <c:valAx>
        <c:axId val="64667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66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excel.xlsm]Sheet1!PivotTable12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Top 5 Bowler who Bowled most no of Overs in all seasons </a:t>
            </a:r>
          </a:p>
        </c:rich>
      </c:tx>
      <c:layout>
        <c:manualLayout>
          <c:xMode val="edge"/>
          <c:yMode val="edge"/>
          <c:x val="0.16357877253732253"/>
          <c:y val="2.72579898100972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580927384076991E-2"/>
          <c:y val="0.19180336832895889"/>
          <c:w val="0.78645603674540687"/>
          <c:h val="0.388492271799358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Sheet1!$BU$43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67-45C2-A9E5-C6CD6722FB3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67-45C2-A9E5-C6CD6722FB3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667-45C2-A9E5-C6CD6722FB3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667-45C2-A9E5-C6CD6722FB3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67-45C2-A9E5-C6CD6722FB3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667-45C2-A9E5-C6CD6722FB3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667-45C2-A9E5-C6CD6722FB3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67-45C2-A9E5-C6CD6722FB3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667-45C2-A9E5-C6CD6722FB3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667-45C2-A9E5-C6CD6722FB3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667-45C2-A9E5-C6CD6722FB3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67-45C2-A9E5-C6CD6722FB3D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67-45C2-A9E5-C6CD6722FB3D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667-45C2-A9E5-C6CD6722FB3D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667-45C2-A9E5-C6CD6722FB3D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B667-45C2-A9E5-C6CD6722FB3D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B667-45C2-A9E5-C6CD6722FB3D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B667-45C2-A9E5-C6CD6722FB3D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B667-45C2-A9E5-C6CD6722FB3D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B667-45C2-A9E5-C6CD6722FB3D}"/>
              </c:ext>
            </c:extLst>
          </c:dPt>
          <c:dLbls>
            <c:dLbl>
              <c:idx val="0"/>
              <c:layout>
                <c:manualLayout>
                  <c:x val="-8.3333333333333332E-3"/>
                  <c:y val="-0.184371901428988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67-45C2-A9E5-C6CD6722FB3D}"/>
                </c:ext>
              </c:extLst>
            </c:dLbl>
            <c:dLbl>
              <c:idx val="1"/>
              <c:layout>
                <c:manualLayout>
                  <c:x val="0"/>
                  <c:y val="-0.2245775007290755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67-45C2-A9E5-C6CD6722FB3D}"/>
                </c:ext>
              </c:extLst>
            </c:dLbl>
            <c:dLbl>
              <c:idx val="2"/>
              <c:layout>
                <c:manualLayout>
                  <c:x val="0"/>
                  <c:y val="-0.1788218139399241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667-45C2-A9E5-C6CD6722FB3D}"/>
                </c:ext>
              </c:extLst>
            </c:dLbl>
            <c:dLbl>
              <c:idx val="3"/>
              <c:layout>
                <c:manualLayout>
                  <c:x val="-2.7777777777777779E-3"/>
                  <c:y val="-0.2045836978710994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67-45C2-A9E5-C6CD6722FB3D}"/>
                </c:ext>
              </c:extLst>
            </c:dLbl>
            <c:dLbl>
              <c:idx val="4"/>
              <c:layout>
                <c:manualLayout>
                  <c:x val="2.7777777777777779E-3"/>
                  <c:y val="-0.233485710119568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667-45C2-A9E5-C6CD6722FB3D}"/>
                </c:ext>
              </c:extLst>
            </c:dLbl>
            <c:dLbl>
              <c:idx val="5"/>
              <c:layout>
                <c:manualLayout>
                  <c:x val="-8.3333333333333332E-3"/>
                  <c:y val="-0.17918708078156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67-45C2-A9E5-C6CD6722FB3D}"/>
                </c:ext>
              </c:extLst>
            </c:dLbl>
            <c:dLbl>
              <c:idx val="6"/>
              <c:layout>
                <c:manualLayout>
                  <c:x val="-2.7777777777777779E-3"/>
                  <c:y val="-0.1637069845435987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667-45C2-A9E5-C6CD6722FB3D}"/>
                </c:ext>
              </c:extLst>
            </c:dLbl>
            <c:dLbl>
              <c:idx val="7"/>
              <c:layout>
                <c:manualLayout>
                  <c:x val="0"/>
                  <c:y val="-0.20198417906095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667-45C2-A9E5-C6CD6722FB3D}"/>
                </c:ext>
              </c:extLst>
            </c:dLbl>
            <c:dLbl>
              <c:idx val="8"/>
              <c:layout>
                <c:manualLayout>
                  <c:x val="-5.0925337632079971E-17"/>
                  <c:y val="-0.1554556722076407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667-45C2-A9E5-C6CD6722FB3D}"/>
                </c:ext>
              </c:extLst>
            </c:dLbl>
            <c:dLbl>
              <c:idx val="9"/>
              <c:layout>
                <c:manualLayout>
                  <c:x val="-5.0925337632079971E-17"/>
                  <c:y val="-0.20198417906095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667-45C2-A9E5-C6CD6722FB3D}"/>
                </c:ext>
              </c:extLst>
            </c:dLbl>
            <c:dLbl>
              <c:idx val="10"/>
              <c:layout>
                <c:manualLayout>
                  <c:x val="2.7777777777777779E-3"/>
                  <c:y val="-0.2288418635170603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667-45C2-A9E5-C6CD6722FB3D}"/>
                </c:ext>
              </c:extLst>
            </c:dLbl>
            <c:dLbl>
              <c:idx val="11"/>
              <c:layout>
                <c:manualLayout>
                  <c:x val="0"/>
                  <c:y val="-0.1550904053659959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667-45C2-A9E5-C6CD6722FB3D}"/>
                </c:ext>
              </c:extLst>
            </c:dLbl>
            <c:dLbl>
              <c:idx val="12"/>
              <c:layout>
                <c:manualLayout>
                  <c:x val="0"/>
                  <c:y val="-0.201678331875182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667-45C2-A9E5-C6CD6722FB3D}"/>
                </c:ext>
              </c:extLst>
            </c:dLbl>
            <c:dLbl>
              <c:idx val="13"/>
              <c:layout>
                <c:manualLayout>
                  <c:x val="0"/>
                  <c:y val="-0.1529582239720035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667-45C2-A9E5-C6CD6722FB3D}"/>
                </c:ext>
              </c:extLst>
            </c:dLbl>
            <c:dLbl>
              <c:idx val="14"/>
              <c:layout>
                <c:manualLayout>
                  <c:x val="-1.0185067526415994E-16"/>
                  <c:y val="-0.189921624380285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667-45C2-A9E5-C6CD6722FB3D}"/>
                </c:ext>
              </c:extLst>
            </c:dLbl>
            <c:dLbl>
              <c:idx val="15"/>
              <c:layout>
                <c:manualLayout>
                  <c:x val="-2.7777777777778798E-3"/>
                  <c:y val="-0.233808326042578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667-45C2-A9E5-C6CD6722FB3D}"/>
                </c:ext>
              </c:extLst>
            </c:dLbl>
            <c:dLbl>
              <c:idx val="16"/>
              <c:layout>
                <c:manualLayout>
                  <c:x val="0"/>
                  <c:y val="-0.1852919947506562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667-45C2-A9E5-C6CD6722FB3D}"/>
                </c:ext>
              </c:extLst>
            </c:dLbl>
            <c:dLbl>
              <c:idx val="17"/>
              <c:layout>
                <c:manualLayout>
                  <c:x val="2.7777777777777779E-3"/>
                  <c:y val="-0.1630643044619422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667-45C2-A9E5-C6CD6722FB3D}"/>
                </c:ext>
              </c:extLst>
            </c:dLbl>
            <c:dLbl>
              <c:idx val="18"/>
              <c:layout>
                <c:manualLayout>
                  <c:x val="2.777777777777676E-3"/>
                  <c:y val="-0.160275226013415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667-45C2-A9E5-C6CD6722FB3D}"/>
                </c:ext>
              </c:extLst>
            </c:dLbl>
            <c:dLbl>
              <c:idx val="19"/>
              <c:layout>
                <c:manualLayout>
                  <c:x val="0"/>
                  <c:y val="-0.238789005540974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667-45C2-A9E5-C6CD6722FB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Sheet1!$BT$44:$BT$69</c:f>
              <c:multiLvlStrCache>
                <c:ptCount val="20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2017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2016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2016</c:v>
                  </c:pt>
                  <c:pt idx="13">
                    <c:v>IPL 2017</c:v>
                  </c:pt>
                  <c:pt idx="14">
                    <c:v>IPL 2018</c:v>
                  </c:pt>
                  <c:pt idx="15">
                    <c:v>IPL 2019</c:v>
                  </c:pt>
                  <c:pt idx="16">
                    <c:v>IPL 2016</c:v>
                  </c:pt>
                  <c:pt idx="17">
                    <c:v>IPL 2017</c:v>
                  </c:pt>
                  <c:pt idx="18">
                    <c:v>IPL 2018</c:v>
                  </c:pt>
                  <c:pt idx="19">
                    <c:v>IPL 2019</c:v>
                  </c:pt>
                </c:lvl>
                <c:lvl>
                  <c:pt idx="0">
                    <c:v>JJ Bumrah</c:v>
                  </c:pt>
                  <c:pt idx="4">
                    <c:v>B Kumar</c:v>
                  </c:pt>
                  <c:pt idx="8">
                    <c:v>SP Narine</c:v>
                  </c:pt>
                  <c:pt idx="12">
                    <c:v>YS Chahal</c:v>
                  </c:pt>
                  <c:pt idx="16">
                    <c:v>Sandeep Sharma</c:v>
                  </c:pt>
                </c:lvl>
              </c:multiLvlStrCache>
            </c:multiLvlStrRef>
          </c:cat>
          <c:val>
            <c:numRef>
              <c:f>Sheet1!$BU$44:$BU$69</c:f>
              <c:numCache>
                <c:formatCode>General</c:formatCode>
                <c:ptCount val="20"/>
                <c:pt idx="0">
                  <c:v>52</c:v>
                </c:pt>
                <c:pt idx="1">
                  <c:v>59.2</c:v>
                </c:pt>
                <c:pt idx="2">
                  <c:v>54</c:v>
                </c:pt>
                <c:pt idx="3">
                  <c:v>61.4</c:v>
                </c:pt>
                <c:pt idx="4">
                  <c:v>66</c:v>
                </c:pt>
                <c:pt idx="5">
                  <c:v>52.2</c:v>
                </c:pt>
                <c:pt idx="6">
                  <c:v>46.1</c:v>
                </c:pt>
                <c:pt idx="7">
                  <c:v>59</c:v>
                </c:pt>
                <c:pt idx="8">
                  <c:v>42.4</c:v>
                </c:pt>
                <c:pt idx="9">
                  <c:v>59</c:v>
                </c:pt>
                <c:pt idx="10">
                  <c:v>61</c:v>
                </c:pt>
                <c:pt idx="11">
                  <c:v>44.2</c:v>
                </c:pt>
                <c:pt idx="12">
                  <c:v>49.1</c:v>
                </c:pt>
                <c:pt idx="13">
                  <c:v>43.3</c:v>
                </c:pt>
                <c:pt idx="14">
                  <c:v>50</c:v>
                </c:pt>
                <c:pt idx="15">
                  <c:v>49.2</c:v>
                </c:pt>
                <c:pt idx="16">
                  <c:v>50</c:v>
                </c:pt>
                <c:pt idx="17">
                  <c:v>48</c:v>
                </c:pt>
                <c:pt idx="18">
                  <c:v>44</c:v>
                </c:pt>
                <c:pt idx="19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667-45C2-A9E5-C6CD6722FB3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8115407"/>
        <c:axId val="588121231"/>
      </c:barChart>
      <c:catAx>
        <c:axId val="58811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21231"/>
        <c:crosses val="autoZero"/>
        <c:auto val="1"/>
        <c:lblAlgn val="ctr"/>
        <c:lblOffset val="100"/>
        <c:noMultiLvlLbl val="0"/>
      </c:catAx>
      <c:valAx>
        <c:axId val="5881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1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excel.xlsm]Sheet1!PivotTable10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1"/>
              <a:t>Top 5 Bowlers Who have</a:t>
            </a:r>
            <a:r>
              <a:rPr lang="en-IN" sz="1100" b="1" i="1" baseline="0"/>
              <a:t> conceeded most no of runs </a:t>
            </a:r>
            <a:r>
              <a:rPr lang="en-IN" sz="1100" b="1" i="1"/>
              <a:t> In Season 2017-2019</a:t>
            </a:r>
          </a:p>
        </c:rich>
      </c:tx>
      <c:layout>
        <c:manualLayout>
          <c:xMode val="edge"/>
          <c:yMode val="edge"/>
          <c:x val="0.14398308954790143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0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9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0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8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9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0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Sheet1!$BA$40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45-4EDD-B0CC-A8D0D37D39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45-4EDD-B0CC-A8D0D37D39F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45-4EDD-B0CC-A8D0D37D39F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45-4EDD-B0CC-A8D0D37D39F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45-4EDD-B0CC-A8D0D37D39F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445-4EDD-B0CC-A8D0D37D39F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445-4EDD-B0CC-A8D0D37D39F7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445-4EDD-B0CC-A8D0D37D39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Sheet1!$AZ$41:$AZ$61</c:f>
              <c:multiLvlStrCache>
                <c:ptCount val="15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</c:lvl>
                <c:lvl>
                  <c:pt idx="0">
                    <c:v>SP Narine</c:v>
                  </c:pt>
                  <c:pt idx="3">
                    <c:v>JJ Bumrah</c:v>
                  </c:pt>
                  <c:pt idx="6">
                    <c:v>JD Unadkat</c:v>
                  </c:pt>
                  <c:pt idx="9">
                    <c:v>UT Yadav</c:v>
                  </c:pt>
                  <c:pt idx="12">
                    <c:v>Rashid Khan</c:v>
                  </c:pt>
                </c:lvl>
              </c:multiLvlStrCache>
            </c:multiLvlStrRef>
          </c:cat>
          <c:val>
            <c:numRef>
              <c:f>Sheet1!$BA$41:$BA$61</c:f>
              <c:numCache>
                <c:formatCode>General</c:formatCode>
                <c:ptCount val="15"/>
                <c:pt idx="0">
                  <c:v>412</c:v>
                </c:pt>
                <c:pt idx="1">
                  <c:v>467</c:v>
                </c:pt>
                <c:pt idx="2">
                  <c:v>347</c:v>
                </c:pt>
                <c:pt idx="3">
                  <c:v>440</c:v>
                </c:pt>
                <c:pt idx="4">
                  <c:v>372</c:v>
                </c:pt>
                <c:pt idx="5">
                  <c:v>409</c:v>
                </c:pt>
                <c:pt idx="6">
                  <c:v>322</c:v>
                </c:pt>
                <c:pt idx="7">
                  <c:v>486</c:v>
                </c:pt>
                <c:pt idx="8">
                  <c:v>398</c:v>
                </c:pt>
                <c:pt idx="9">
                  <c:v>410</c:v>
                </c:pt>
                <c:pt idx="10">
                  <c:v>418</c:v>
                </c:pt>
                <c:pt idx="11">
                  <c:v>371</c:v>
                </c:pt>
                <c:pt idx="12">
                  <c:v>358</c:v>
                </c:pt>
                <c:pt idx="13">
                  <c:v>458</c:v>
                </c:pt>
                <c:pt idx="14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445-4EDD-B0CC-A8D0D37D39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085856495"/>
        <c:axId val="1085866895"/>
      </c:barChart>
      <c:catAx>
        <c:axId val="1085856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66895"/>
        <c:crosses val="autoZero"/>
        <c:auto val="1"/>
        <c:lblAlgn val="ctr"/>
        <c:lblOffset val="100"/>
        <c:noMultiLvlLbl val="0"/>
      </c:catAx>
      <c:valAx>
        <c:axId val="108586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Most no of  runs scored by Top 5 players in all season</a:t>
            </a:r>
          </a:p>
        </c:rich>
      </c:tx>
      <c:layout>
        <c:manualLayout>
          <c:xMode val="edge"/>
          <c:yMode val="edge"/>
          <c:x val="0.19400678040244967"/>
          <c:y val="0.10083114610673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966666666666667E-2"/>
              <c:y val="-2.7777777777777776E-2"/>
            </c:manualLayout>
          </c:layout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966666666666667E-2"/>
              <c:y val="-3.2407407407407489E-2"/>
            </c:manualLayout>
          </c:layout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Sheet1!$AJ$5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Sheet1!$AI$6:$AI$11</c:f>
              <c:strCache>
                <c:ptCount val="5"/>
                <c:pt idx="0">
                  <c:v>V Kohli</c:v>
                </c:pt>
                <c:pt idx="1">
                  <c:v>PA Patel</c:v>
                </c:pt>
                <c:pt idx="2">
                  <c:v>Q de Kock</c:v>
                </c:pt>
                <c:pt idx="3">
                  <c:v>RG Sharma</c:v>
                </c:pt>
                <c:pt idx="4">
                  <c:v>KS Williamson</c:v>
                </c:pt>
              </c:strCache>
            </c:strRef>
          </c:cat>
          <c:val>
            <c:numRef>
              <c:f>Sheet1!$AJ$6:$AJ$11</c:f>
              <c:numCache>
                <c:formatCode>General</c:formatCode>
                <c:ptCount val="5"/>
                <c:pt idx="0">
                  <c:v>277</c:v>
                </c:pt>
                <c:pt idx="1">
                  <c:v>271</c:v>
                </c:pt>
                <c:pt idx="2">
                  <c:v>242</c:v>
                </c:pt>
                <c:pt idx="3">
                  <c:v>228</c:v>
                </c:pt>
                <c:pt idx="4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0-4604-B3BF-4E7220564B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55417952"/>
        <c:axId val="655420032"/>
      </c:lineChart>
      <c:catAx>
        <c:axId val="65541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420032"/>
        <c:crosses val="autoZero"/>
        <c:auto val="1"/>
        <c:lblAlgn val="ctr"/>
        <c:lblOffset val="100"/>
        <c:noMultiLvlLbl val="0"/>
      </c:catAx>
      <c:valAx>
        <c:axId val="655420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4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200" b="1" i="1"/>
              <a:t>Top 5 players who have best strike rate in season2018-2019</a:t>
            </a:r>
          </a:p>
        </c:rich>
      </c:tx>
      <c:layout>
        <c:manualLayout>
          <c:xMode val="edge"/>
          <c:yMode val="edge"/>
          <c:x val="0.17599300087489064"/>
          <c:y val="9.20461483070083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Sheet1!$AP$3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73-47E5-AA35-652D87C5F1A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73-47E5-AA35-652D87C5F1A1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73-47E5-AA35-652D87C5F1A1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73-47E5-AA35-652D87C5F1A1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73-47E5-AA35-652D87C5F1A1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73-47E5-AA35-652D87C5F1A1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173-47E5-AA35-652D87C5F1A1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173-47E5-AA35-652D87C5F1A1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173-47E5-AA35-652D87C5F1A1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173-47E5-AA35-652D87C5F1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Sheet1!$AO$4:$AO$19</c:f>
              <c:multiLvlStrCache>
                <c:ptCount val="10"/>
                <c:lvl>
                  <c:pt idx="0">
                    <c:v>IPL 2018</c:v>
                  </c:pt>
                  <c:pt idx="1">
                    <c:v>IPL 2019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2018</c:v>
                  </c:pt>
                  <c:pt idx="9">
                    <c:v>IPL 2019</c:v>
                  </c:pt>
                </c:lvl>
                <c:lvl>
                  <c:pt idx="0">
                    <c:v>SN Thakur</c:v>
                  </c:pt>
                  <c:pt idx="2">
                    <c:v>AD Russell</c:v>
                  </c:pt>
                  <c:pt idx="4">
                    <c:v>MK Lomror</c:v>
                  </c:pt>
                  <c:pt idx="6">
                    <c:v>SP Narine</c:v>
                  </c:pt>
                  <c:pt idx="8">
                    <c:v>Rashid Khan</c:v>
                  </c:pt>
                </c:lvl>
              </c:multiLvlStrCache>
            </c:multiLvlStrRef>
          </c:cat>
          <c:val>
            <c:numRef>
              <c:f>Sheet1!$AP$4:$AP$19</c:f>
              <c:numCache>
                <c:formatCode>General</c:formatCode>
                <c:ptCount val="10"/>
                <c:pt idx="0">
                  <c:v>300</c:v>
                </c:pt>
                <c:pt idx="1">
                  <c:v>200</c:v>
                </c:pt>
                <c:pt idx="2">
                  <c:v>184.79</c:v>
                </c:pt>
                <c:pt idx="3">
                  <c:v>204.81</c:v>
                </c:pt>
                <c:pt idx="4">
                  <c:v>95.23</c:v>
                </c:pt>
                <c:pt idx="5">
                  <c:v>266.66000000000003</c:v>
                </c:pt>
                <c:pt idx="6">
                  <c:v>189.89</c:v>
                </c:pt>
                <c:pt idx="7">
                  <c:v>166.27</c:v>
                </c:pt>
                <c:pt idx="8">
                  <c:v>190.32</c:v>
                </c:pt>
                <c:pt idx="9">
                  <c:v>147.82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173-47E5-AA35-652D87C5F1A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11373578302709"/>
          <c:y val="0.3250700521281758"/>
          <c:w val="0.23721959755030622"/>
          <c:h val="0.55217905167420678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excel.xlsm]Sheet1!PivotTable7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Top</a:t>
            </a:r>
            <a:r>
              <a:rPr lang="en-US" sz="1100" baseline="0"/>
              <a:t> 5 team who won most no of toss</a:t>
            </a:r>
            <a:endParaRPr lang="en-US" sz="1100"/>
          </a:p>
        </c:rich>
      </c:tx>
      <c:layout>
        <c:manualLayout>
          <c:xMode val="edge"/>
          <c:yMode val="edge"/>
          <c:x val="0.21597222222222223"/>
          <c:y val="0.137868183143773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Sheet1!$AN$23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Sheet1!$AM$24:$AM$29</c:f>
              <c:strCache>
                <c:ptCount val="5"/>
                <c:pt idx="0">
                  <c:v>Royal Challengers Bangalore</c:v>
                </c:pt>
                <c:pt idx="1">
                  <c:v>Kings XI Punjab</c:v>
                </c:pt>
                <c:pt idx="2">
                  <c:v>Sunrisers Hyderabad</c:v>
                </c:pt>
                <c:pt idx="3">
                  <c:v>Kolkata Knight Riders</c:v>
                </c:pt>
                <c:pt idx="4">
                  <c:v>Mumbai Indians</c:v>
                </c:pt>
              </c:strCache>
            </c:strRef>
          </c:cat>
          <c:val>
            <c:numRef>
              <c:f>Sheet1!$AN$24:$AN$29</c:f>
              <c:numCache>
                <c:formatCode>General</c:formatCode>
                <c:ptCount val="5"/>
                <c:pt idx="0">
                  <c:v>84</c:v>
                </c:pt>
                <c:pt idx="1">
                  <c:v>79</c:v>
                </c:pt>
                <c:pt idx="2">
                  <c:v>77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7-4663-9281-487309C9FEA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5888080"/>
        <c:axId val="885888912"/>
      </c:barChart>
      <c:catAx>
        <c:axId val="88588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88912"/>
        <c:crosses val="autoZero"/>
        <c:auto val="1"/>
        <c:lblAlgn val="ctr"/>
        <c:lblOffset val="100"/>
        <c:noMultiLvlLbl val="0"/>
      </c:catAx>
      <c:valAx>
        <c:axId val="8858889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858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excel.xlsm]Sheet1!PivotTable8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 sz="1400"/>
              <a:t>Bowling</a:t>
            </a:r>
            <a:r>
              <a:rPr lang="en-IN" sz="1400" baseline="0"/>
              <a:t> innings for all teams in all seasons</a:t>
            </a:r>
            <a:endParaRPr lang="en-IN" sz="1400"/>
          </a:p>
        </c:rich>
      </c:tx>
      <c:layout>
        <c:manualLayout>
          <c:xMode val="edge"/>
          <c:yMode val="edge"/>
          <c:x val="0.20619793449731827"/>
          <c:y val="2.3148148148148147E-2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57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57407407407407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8934850927318164E-17"/>
              <c:y val="-0.1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275E-3"/>
              <c:y val="-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5.7869701854636328E-17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0276247936540401E-3"/>
              <c:y val="-0.1574074476878235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5988E-3"/>
              <c:y val="-0.180555555555555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5925925925925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71296296296296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3.1565656565656565E-3"/>
              <c:y val="-0.143518518518518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3.1565656565656565E-3"/>
              <c:y val="-0.134259259259259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7222222222222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1.1573940370927266E-16"/>
              <c:y val="-0.20370370370370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0833333333333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Sheet1!$AM$31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556-4E21-B195-2F3917766DF7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56-4E21-B195-2F3917766DF7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556-4E21-B195-2F3917766DF7}"/>
              </c:ext>
            </c:extLst>
          </c:dPt>
          <c:dPt>
            <c:idx val="3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56-4E21-B195-2F3917766DF7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556-4E21-B195-2F3917766DF7}"/>
              </c:ext>
            </c:extLst>
          </c:dPt>
          <c:dPt>
            <c:idx val="5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556-4E21-B195-2F3917766DF7}"/>
              </c:ext>
            </c:extLst>
          </c:dPt>
          <c:dPt>
            <c:idx val="6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556-4E21-B195-2F3917766DF7}"/>
              </c:ext>
            </c:extLst>
          </c:dPt>
          <c:dPt>
            <c:idx val="7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556-4E21-B195-2F3917766DF7}"/>
              </c:ext>
            </c:extLst>
          </c:dPt>
          <c:dPt>
            <c:idx val="8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556-4E21-B195-2F3917766DF7}"/>
              </c:ext>
            </c:extLst>
          </c:dPt>
          <c:dPt>
            <c:idx val="9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556-4E21-B195-2F3917766DF7}"/>
              </c:ext>
            </c:extLst>
          </c:dPt>
          <c:dPt>
            <c:idx val="1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556-4E21-B195-2F3917766DF7}"/>
              </c:ext>
            </c:extLst>
          </c:dPt>
          <c:dPt>
            <c:idx val="1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556-4E21-B195-2F3917766DF7}"/>
              </c:ext>
            </c:extLst>
          </c:dPt>
          <c:dLbls>
            <c:dLbl>
              <c:idx val="0"/>
              <c:layout>
                <c:manualLayout>
                  <c:x val="-2.8934850927318164E-17"/>
                  <c:y val="-0.12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56-4E21-B195-2F3917766DF7}"/>
                </c:ext>
              </c:extLst>
            </c:dLbl>
            <c:dLbl>
              <c:idx val="1"/>
              <c:layout>
                <c:manualLayout>
                  <c:x val="3.1565656565656275E-3"/>
                  <c:y val="-0.111111111111111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56-4E21-B195-2F3917766DF7}"/>
                </c:ext>
              </c:extLst>
            </c:dLbl>
            <c:dLbl>
              <c:idx val="2"/>
              <c:layout>
                <c:manualLayout>
                  <c:x val="-5.7869701854636328E-17"/>
                  <c:y val="-0.171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56-4E21-B195-2F3917766DF7}"/>
                </c:ext>
              </c:extLst>
            </c:dLbl>
            <c:dLbl>
              <c:idx val="3"/>
              <c:layout>
                <c:manualLayout>
                  <c:x val="-3.0276247936540401E-3"/>
                  <c:y val="-0.157407447687823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56-4E21-B195-2F3917766DF7}"/>
                </c:ext>
              </c:extLst>
            </c:dLbl>
            <c:dLbl>
              <c:idx val="4"/>
              <c:layout>
                <c:manualLayout>
                  <c:x val="3.1565656565655988E-3"/>
                  <c:y val="-0.1805555555555556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56-4E21-B195-2F3917766DF7}"/>
                </c:ext>
              </c:extLst>
            </c:dLbl>
            <c:dLbl>
              <c:idx val="5"/>
              <c:layout>
                <c:manualLayout>
                  <c:x val="3.1565656565656565E-3"/>
                  <c:y val="-0.1759259259259259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56-4E21-B195-2F3917766DF7}"/>
                </c:ext>
              </c:extLst>
            </c:dLbl>
            <c:dLbl>
              <c:idx val="6"/>
              <c:layout>
                <c:manualLayout>
                  <c:x val="3.1565656565656565E-3"/>
                  <c:y val="-0.171296296296296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56-4E21-B195-2F3917766DF7}"/>
                </c:ext>
              </c:extLst>
            </c:dLbl>
            <c:dLbl>
              <c:idx val="7"/>
              <c:layout>
                <c:manualLayout>
                  <c:x val="3.1565656565656565E-3"/>
                  <c:y val="-0.1435185185185185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556-4E21-B195-2F3917766DF7}"/>
                </c:ext>
              </c:extLst>
            </c:dLbl>
            <c:dLbl>
              <c:idx val="8"/>
              <c:layout>
                <c:manualLayout>
                  <c:x val="-3.1565656565656565E-3"/>
                  <c:y val="-0.1342592592592592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556-4E21-B195-2F3917766DF7}"/>
                </c:ext>
              </c:extLst>
            </c:dLbl>
            <c:dLbl>
              <c:idx val="9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556-4E21-B195-2F3917766DF7}"/>
                </c:ext>
              </c:extLst>
            </c:dLbl>
            <c:dLbl>
              <c:idx val="10"/>
              <c:layout>
                <c:manualLayout>
                  <c:x val="-1.1573940370927266E-16"/>
                  <c:y val="-0.2037037037037036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56-4E21-B195-2F3917766DF7}"/>
                </c:ext>
              </c:extLst>
            </c:dLbl>
            <c:dLbl>
              <c:idx val="11"/>
              <c:layout>
                <c:manualLayout>
                  <c:x val="0"/>
                  <c:y val="-0.2083333333333333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556-4E21-B195-2F3917766D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Sheet1!$AL$32:$AL$44</c:f>
              <c:strCache>
                <c:ptCount val="12"/>
                <c:pt idx="0">
                  <c:v>Chennai Super Kings</c:v>
                </c:pt>
                <c:pt idx="1">
                  <c:v>Delhi Capitals</c:v>
                </c:pt>
                <c:pt idx="2">
                  <c:v>Delhi Daredevils</c:v>
                </c:pt>
                <c:pt idx="3">
                  <c:v>Gujarat Lions</c:v>
                </c:pt>
                <c:pt idx="4">
                  <c:v>Kings XI Punjab</c:v>
                </c:pt>
                <c:pt idx="5">
                  <c:v>Kolkata Knight Riders</c:v>
                </c:pt>
                <c:pt idx="6">
                  <c:v>Mumbai Indians</c:v>
                </c:pt>
                <c:pt idx="7">
                  <c:v>Rajasthan Royals</c:v>
                </c:pt>
                <c:pt idx="8">
                  <c:v>Rising Pune Supergiant</c:v>
                </c:pt>
                <c:pt idx="9">
                  <c:v>Rising Pune Supergiants</c:v>
                </c:pt>
                <c:pt idx="10">
                  <c:v>Royal Challengers Bangalore</c:v>
                </c:pt>
                <c:pt idx="11">
                  <c:v>Sunrisers Hyderabad</c:v>
                </c:pt>
              </c:strCache>
            </c:strRef>
          </c:cat>
          <c:val>
            <c:numRef>
              <c:f>Sheet1!$AM$32:$AM$44</c:f>
              <c:numCache>
                <c:formatCode>General</c:formatCode>
                <c:ptCount val="12"/>
                <c:pt idx="0">
                  <c:v>39</c:v>
                </c:pt>
                <c:pt idx="1">
                  <c:v>20</c:v>
                </c:pt>
                <c:pt idx="2">
                  <c:v>59</c:v>
                </c:pt>
                <c:pt idx="3">
                  <c:v>43</c:v>
                </c:pt>
                <c:pt idx="4">
                  <c:v>79</c:v>
                </c:pt>
                <c:pt idx="5">
                  <c:v>74</c:v>
                </c:pt>
                <c:pt idx="6">
                  <c:v>73</c:v>
                </c:pt>
                <c:pt idx="7">
                  <c:v>40</c:v>
                </c:pt>
                <c:pt idx="8">
                  <c:v>20</c:v>
                </c:pt>
                <c:pt idx="9">
                  <c:v>23</c:v>
                </c:pt>
                <c:pt idx="10">
                  <c:v>84</c:v>
                </c:pt>
                <c:pt idx="11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56-4E21-B195-2F3917766D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85830256"/>
        <c:axId val="885840240"/>
      </c:barChart>
      <c:catAx>
        <c:axId val="88583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40240"/>
        <c:crosses val="autoZero"/>
        <c:auto val="1"/>
        <c:lblAlgn val="ctr"/>
        <c:lblOffset val="100"/>
        <c:noMultiLvlLbl val="0"/>
      </c:catAx>
      <c:valAx>
        <c:axId val="88584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8302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excel.xlsm]Sheet1!PivotTable9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Top  6 Bowler who have taken Most No Of Wicket In 2017-2019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Sheet1!$AQ$40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Sheet1!$AP$41:$AP$65</c:f>
              <c:multiLvlStrCache>
                <c:ptCount val="18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  <c:pt idx="15">
                    <c:v>IPL 2017</c:v>
                  </c:pt>
                  <c:pt idx="16">
                    <c:v>IPL 2018</c:v>
                  </c:pt>
                  <c:pt idx="17">
                    <c:v>IPL 2019</c:v>
                  </c:pt>
                </c:lvl>
                <c:lvl>
                  <c:pt idx="0">
                    <c:v>JJ Bumrah</c:v>
                  </c:pt>
                  <c:pt idx="3">
                    <c:v>Rashid Khan</c:v>
                  </c:pt>
                  <c:pt idx="6">
                    <c:v>Imran Tahir</c:v>
                  </c:pt>
                  <c:pt idx="9">
                    <c:v>B Kumar</c:v>
                  </c:pt>
                  <c:pt idx="12">
                    <c:v>UT Yadav</c:v>
                  </c:pt>
                  <c:pt idx="15">
                    <c:v>JD Unadkat</c:v>
                  </c:pt>
                </c:lvl>
              </c:multiLvlStrCache>
            </c:multiLvlStrRef>
          </c:cat>
          <c:val>
            <c:numRef>
              <c:f>Sheet1!$AQ$41:$AQ$65</c:f>
              <c:numCache>
                <c:formatCode>General</c:formatCode>
                <c:ptCount val="18"/>
                <c:pt idx="0">
                  <c:v>20</c:v>
                </c:pt>
                <c:pt idx="1">
                  <c:v>17</c:v>
                </c:pt>
                <c:pt idx="2">
                  <c:v>19</c:v>
                </c:pt>
                <c:pt idx="3">
                  <c:v>17</c:v>
                </c:pt>
                <c:pt idx="4">
                  <c:v>21</c:v>
                </c:pt>
                <c:pt idx="5">
                  <c:v>17</c:v>
                </c:pt>
                <c:pt idx="6">
                  <c:v>18</c:v>
                </c:pt>
                <c:pt idx="7">
                  <c:v>6</c:v>
                </c:pt>
                <c:pt idx="8">
                  <c:v>26</c:v>
                </c:pt>
                <c:pt idx="9">
                  <c:v>26</c:v>
                </c:pt>
                <c:pt idx="10">
                  <c:v>9</c:v>
                </c:pt>
                <c:pt idx="11">
                  <c:v>13</c:v>
                </c:pt>
                <c:pt idx="12">
                  <c:v>17</c:v>
                </c:pt>
                <c:pt idx="13">
                  <c:v>20</c:v>
                </c:pt>
                <c:pt idx="14">
                  <c:v>8</c:v>
                </c:pt>
                <c:pt idx="15">
                  <c:v>24</c:v>
                </c:pt>
                <c:pt idx="16">
                  <c:v>11</c:v>
                </c:pt>
                <c:pt idx="1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3-4FC3-9A60-EC8A9D67D8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27642255"/>
        <c:axId val="727650991"/>
      </c:barChart>
      <c:catAx>
        <c:axId val="727642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50991"/>
        <c:crosses val="autoZero"/>
        <c:auto val="1"/>
        <c:lblAlgn val="ctr"/>
        <c:lblOffset val="100"/>
        <c:noMultiLvlLbl val="0"/>
      </c:catAx>
      <c:valAx>
        <c:axId val="72765099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27642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1"/>
              <a:t>Top 5 Bowlers Who have</a:t>
            </a:r>
            <a:r>
              <a:rPr lang="en-IN" sz="1100" b="1" i="1" baseline="0"/>
              <a:t> conceeded most no of runs </a:t>
            </a:r>
            <a:r>
              <a:rPr lang="en-IN" sz="1100" b="1" i="1"/>
              <a:t> In Season 2017-2019</a:t>
            </a:r>
          </a:p>
        </c:rich>
      </c:tx>
      <c:layout>
        <c:manualLayout>
          <c:xMode val="edge"/>
          <c:yMode val="edge"/>
          <c:x val="0.14398308954790143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0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3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4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5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6"/>
        <c:spPr>
          <a:solidFill>
            <a:schemeClr val="accent2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Sheet1!$BA$40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E7-4837-9D5E-D772BC2305E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E7-4837-9D5E-D772BC2305E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E7-4837-9D5E-D772BC2305E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E7-4837-9D5E-D772BC2305E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E7-4837-9D5E-D772BC2305E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4E7-4837-9D5E-D772BC2305EB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E7-4837-9D5E-D772BC2305EB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4E7-4837-9D5E-D772BC2305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Sheet1!$AZ$41:$AZ$61</c:f>
              <c:multiLvlStrCache>
                <c:ptCount val="15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</c:lvl>
                <c:lvl>
                  <c:pt idx="0">
                    <c:v>SP Narine</c:v>
                  </c:pt>
                  <c:pt idx="3">
                    <c:v>JJ Bumrah</c:v>
                  </c:pt>
                  <c:pt idx="6">
                    <c:v>JD Unadkat</c:v>
                  </c:pt>
                  <c:pt idx="9">
                    <c:v>UT Yadav</c:v>
                  </c:pt>
                  <c:pt idx="12">
                    <c:v>Rashid Khan</c:v>
                  </c:pt>
                </c:lvl>
              </c:multiLvlStrCache>
            </c:multiLvlStrRef>
          </c:cat>
          <c:val>
            <c:numRef>
              <c:f>Sheet1!$BA$41:$BA$61</c:f>
              <c:numCache>
                <c:formatCode>General</c:formatCode>
                <c:ptCount val="15"/>
                <c:pt idx="0">
                  <c:v>412</c:v>
                </c:pt>
                <c:pt idx="1">
                  <c:v>467</c:v>
                </c:pt>
                <c:pt idx="2">
                  <c:v>347</c:v>
                </c:pt>
                <c:pt idx="3">
                  <c:v>440</c:v>
                </c:pt>
                <c:pt idx="4">
                  <c:v>372</c:v>
                </c:pt>
                <c:pt idx="5">
                  <c:v>409</c:v>
                </c:pt>
                <c:pt idx="6">
                  <c:v>322</c:v>
                </c:pt>
                <c:pt idx="7">
                  <c:v>486</c:v>
                </c:pt>
                <c:pt idx="8">
                  <c:v>398</c:v>
                </c:pt>
                <c:pt idx="9">
                  <c:v>410</c:v>
                </c:pt>
                <c:pt idx="10">
                  <c:v>418</c:v>
                </c:pt>
                <c:pt idx="11">
                  <c:v>371</c:v>
                </c:pt>
                <c:pt idx="12">
                  <c:v>358</c:v>
                </c:pt>
                <c:pt idx="13">
                  <c:v>458</c:v>
                </c:pt>
                <c:pt idx="14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4E7-4837-9D5E-D772BC2305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085856495"/>
        <c:axId val="1085866895"/>
      </c:barChart>
      <c:catAx>
        <c:axId val="1085856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66895"/>
        <c:crosses val="autoZero"/>
        <c:auto val="1"/>
        <c:lblAlgn val="ctr"/>
        <c:lblOffset val="100"/>
        <c:noMultiLvlLbl val="0"/>
      </c:catAx>
      <c:valAx>
        <c:axId val="108586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Top 5 bowler who have highest economy rate in seasons 2017-2019</a:t>
            </a:r>
          </a:p>
        </c:rich>
      </c:tx>
      <c:layout>
        <c:manualLayout>
          <c:xMode val="edge"/>
          <c:yMode val="edge"/>
          <c:x val="0.10332063083951241"/>
          <c:y val="5.3606237816764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Sheet1!$BK$42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multiLvlStrRef>
              <c:f>Sheet1!$BJ$43:$BJ$63</c:f>
              <c:multiLvlStrCache>
                <c:ptCount val="15"/>
                <c:lvl>
                  <c:pt idx="0">
                    <c:v>IPL 2017</c:v>
                  </c:pt>
                  <c:pt idx="1">
                    <c:v>IPL 2018</c:v>
                  </c:pt>
                  <c:pt idx="2">
                    <c:v>IPL 2019</c:v>
                  </c:pt>
                  <c:pt idx="3">
                    <c:v>IPL 2017</c:v>
                  </c:pt>
                  <c:pt idx="4">
                    <c:v>IPL 2018</c:v>
                  </c:pt>
                  <c:pt idx="5">
                    <c:v>IPL 2019</c:v>
                  </c:pt>
                  <c:pt idx="6">
                    <c:v>IPL 2017</c:v>
                  </c:pt>
                  <c:pt idx="7">
                    <c:v>IPL 2018</c:v>
                  </c:pt>
                  <c:pt idx="8">
                    <c:v>IPL 2019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2017</c:v>
                  </c:pt>
                  <c:pt idx="13">
                    <c:v>IPL 2018</c:v>
                  </c:pt>
                  <c:pt idx="14">
                    <c:v>IPL 2019</c:v>
                  </c:pt>
                </c:lvl>
                <c:lvl>
                  <c:pt idx="0">
                    <c:v>BB Sran</c:v>
                  </c:pt>
                  <c:pt idx="3">
                    <c:v>BCJ Cutting</c:v>
                  </c:pt>
                  <c:pt idx="6">
                    <c:v>TG Southee</c:v>
                  </c:pt>
                  <c:pt idx="9">
                    <c:v>STR Binny</c:v>
                  </c:pt>
                  <c:pt idx="12">
                    <c:v>MP Stoinis</c:v>
                  </c:pt>
                </c:lvl>
              </c:multiLvlStrCache>
            </c:multiLvlStrRef>
          </c:cat>
          <c:val>
            <c:numRef>
              <c:f>Sheet1!$BK$43:$BK$63</c:f>
              <c:numCache>
                <c:formatCode>General</c:formatCode>
                <c:ptCount val="15"/>
                <c:pt idx="0">
                  <c:v>14.5</c:v>
                </c:pt>
                <c:pt idx="1">
                  <c:v>10.4</c:v>
                </c:pt>
                <c:pt idx="2">
                  <c:v>12.75</c:v>
                </c:pt>
                <c:pt idx="3">
                  <c:v>9.7100000000000009</c:v>
                </c:pt>
                <c:pt idx="4">
                  <c:v>9.8800000000000008</c:v>
                </c:pt>
                <c:pt idx="5">
                  <c:v>13.5</c:v>
                </c:pt>
                <c:pt idx="6">
                  <c:v>9.6</c:v>
                </c:pt>
                <c:pt idx="7">
                  <c:v>9</c:v>
                </c:pt>
                <c:pt idx="8">
                  <c:v>13.11</c:v>
                </c:pt>
                <c:pt idx="9">
                  <c:v>8.33</c:v>
                </c:pt>
                <c:pt idx="10">
                  <c:v>16.5</c:v>
                </c:pt>
                <c:pt idx="11">
                  <c:v>6.28</c:v>
                </c:pt>
                <c:pt idx="12">
                  <c:v>10.47</c:v>
                </c:pt>
                <c:pt idx="13">
                  <c:v>10.9</c:v>
                </c:pt>
                <c:pt idx="14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4B-4253-9AE2-583D4DCB6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666847"/>
        <c:axId val="646676415"/>
      </c:lineChart>
      <c:catAx>
        <c:axId val="646666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76415"/>
        <c:crosses val="autoZero"/>
        <c:auto val="1"/>
        <c:lblAlgn val="ctr"/>
        <c:lblOffset val="100"/>
        <c:noMultiLvlLbl val="0"/>
      </c:catAx>
      <c:valAx>
        <c:axId val="64667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666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[kumar Ankit final dashboard excel.xlsm]Sheet1!PivotTable12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Top 5 Bowler who Bowled most no of Overs in all seasons </a:t>
            </a:r>
          </a:p>
        </c:rich>
      </c:tx>
      <c:layout>
        <c:manualLayout>
          <c:xMode val="edge"/>
          <c:yMode val="edge"/>
          <c:x val="0.16357877253732253"/>
          <c:y val="2.72579898100972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84371901428988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2457750072907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78821813939924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204583697871099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33485710119568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8.3333333333333332E-3"/>
              <c:y val="-0.179187080781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7779E-3"/>
              <c:y val="-0.163706984543598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155455672207640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925337632079971E-17"/>
              <c:y val="-0.20198417906095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228841863517060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5090405365995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01678331875182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5295822397200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0185067526415994E-16"/>
              <c:y val="-0.189921624380285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7777777777778798E-3"/>
              <c:y val="-0.233808326042578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185291994750656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7779E-3"/>
              <c:y val="-0.1630643044619422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777777777777676E-3"/>
              <c:y val="-0.1602752260134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-0.238789005540974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580927384076991E-2"/>
          <c:y val="0.19180336832895889"/>
          <c:w val="0.78645603674540687"/>
          <c:h val="0.388492271799358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Sheet1!$BU$43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8F1F-4F60-BF1E-D2873F11A31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8F1F-4F60-BF1E-D2873F11A31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8F1F-4F60-BF1E-D2873F11A31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8F1F-4F60-BF1E-D2873F11A31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1F-4F60-BF1E-D2873F11A31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1F-4F60-BF1E-D2873F11A31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1F-4F60-BF1E-D2873F11A31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1F-4F60-BF1E-D2873F11A31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F1F-4F60-BF1E-D2873F11A31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F1F-4F60-BF1E-D2873F11A31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F1F-4F60-BF1E-D2873F11A31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F1F-4F60-BF1E-D2873F11A31A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F1F-4F60-BF1E-D2873F11A31A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F1F-4F60-BF1E-D2873F11A31A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F1F-4F60-BF1E-D2873F11A31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F1F-4F60-BF1E-D2873F11A31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F1F-4F60-BF1E-D2873F11A31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8F1F-4F60-BF1E-D2873F11A31A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8F1F-4F60-BF1E-D2873F11A31A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8F1F-4F60-BF1E-D2873F11A31A}"/>
              </c:ext>
            </c:extLst>
          </c:dPt>
          <c:dLbls>
            <c:dLbl>
              <c:idx val="0"/>
              <c:layout>
                <c:manualLayout>
                  <c:x val="-8.3333333333333332E-3"/>
                  <c:y val="-0.184371901428988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F1F-4F60-BF1E-D2873F11A31A}"/>
                </c:ext>
              </c:extLst>
            </c:dLbl>
            <c:dLbl>
              <c:idx val="1"/>
              <c:layout>
                <c:manualLayout>
                  <c:x val="0"/>
                  <c:y val="-0.2245775007290755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F1F-4F60-BF1E-D2873F11A31A}"/>
                </c:ext>
              </c:extLst>
            </c:dLbl>
            <c:dLbl>
              <c:idx val="2"/>
              <c:layout>
                <c:manualLayout>
                  <c:x val="0"/>
                  <c:y val="-0.1788218139399241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F1F-4F60-BF1E-D2873F11A31A}"/>
                </c:ext>
              </c:extLst>
            </c:dLbl>
            <c:dLbl>
              <c:idx val="3"/>
              <c:layout>
                <c:manualLayout>
                  <c:x val="-2.7777777777777779E-3"/>
                  <c:y val="-0.2045836978710994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8F1F-4F60-BF1E-D2873F11A31A}"/>
                </c:ext>
              </c:extLst>
            </c:dLbl>
            <c:dLbl>
              <c:idx val="4"/>
              <c:layout>
                <c:manualLayout>
                  <c:x val="2.7777777777777779E-3"/>
                  <c:y val="-0.233485710119568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1F-4F60-BF1E-D2873F11A31A}"/>
                </c:ext>
              </c:extLst>
            </c:dLbl>
            <c:dLbl>
              <c:idx val="5"/>
              <c:layout>
                <c:manualLayout>
                  <c:x val="-8.3333333333333332E-3"/>
                  <c:y val="-0.17918708078156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1F-4F60-BF1E-D2873F11A31A}"/>
                </c:ext>
              </c:extLst>
            </c:dLbl>
            <c:dLbl>
              <c:idx val="6"/>
              <c:layout>
                <c:manualLayout>
                  <c:x val="-2.7777777777777779E-3"/>
                  <c:y val="-0.1637069845435987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1F-4F60-BF1E-D2873F11A31A}"/>
                </c:ext>
              </c:extLst>
            </c:dLbl>
            <c:dLbl>
              <c:idx val="7"/>
              <c:layout>
                <c:manualLayout>
                  <c:x val="0"/>
                  <c:y val="-0.20198417906095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1F-4F60-BF1E-D2873F11A31A}"/>
                </c:ext>
              </c:extLst>
            </c:dLbl>
            <c:dLbl>
              <c:idx val="8"/>
              <c:layout>
                <c:manualLayout>
                  <c:x val="-5.0925337632079971E-17"/>
                  <c:y val="-0.1554556722076407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1F-4F60-BF1E-D2873F11A31A}"/>
                </c:ext>
              </c:extLst>
            </c:dLbl>
            <c:dLbl>
              <c:idx val="9"/>
              <c:layout>
                <c:manualLayout>
                  <c:x val="-5.0925337632079971E-17"/>
                  <c:y val="-0.201984179060950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1F-4F60-BF1E-D2873F11A31A}"/>
                </c:ext>
              </c:extLst>
            </c:dLbl>
            <c:dLbl>
              <c:idx val="10"/>
              <c:layout>
                <c:manualLayout>
                  <c:x val="2.7777777777777779E-3"/>
                  <c:y val="-0.2288418635170603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F1F-4F60-BF1E-D2873F11A31A}"/>
                </c:ext>
              </c:extLst>
            </c:dLbl>
            <c:dLbl>
              <c:idx val="11"/>
              <c:layout>
                <c:manualLayout>
                  <c:x val="0"/>
                  <c:y val="-0.1550904053659959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F1F-4F60-BF1E-D2873F11A31A}"/>
                </c:ext>
              </c:extLst>
            </c:dLbl>
            <c:dLbl>
              <c:idx val="12"/>
              <c:layout>
                <c:manualLayout>
                  <c:x val="0"/>
                  <c:y val="-0.201678331875182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F1F-4F60-BF1E-D2873F11A31A}"/>
                </c:ext>
              </c:extLst>
            </c:dLbl>
            <c:dLbl>
              <c:idx val="13"/>
              <c:layout>
                <c:manualLayout>
                  <c:x val="0"/>
                  <c:y val="-0.1529582239720035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F1F-4F60-BF1E-D2873F11A31A}"/>
                </c:ext>
              </c:extLst>
            </c:dLbl>
            <c:dLbl>
              <c:idx val="14"/>
              <c:layout>
                <c:manualLayout>
                  <c:x val="-1.0185067526415994E-16"/>
                  <c:y val="-0.189921624380285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F1F-4F60-BF1E-D2873F11A31A}"/>
                </c:ext>
              </c:extLst>
            </c:dLbl>
            <c:dLbl>
              <c:idx val="15"/>
              <c:layout>
                <c:manualLayout>
                  <c:x val="-2.7777777777778798E-3"/>
                  <c:y val="-0.233808326042578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F1F-4F60-BF1E-D2873F11A31A}"/>
                </c:ext>
              </c:extLst>
            </c:dLbl>
            <c:dLbl>
              <c:idx val="16"/>
              <c:layout>
                <c:manualLayout>
                  <c:x val="0"/>
                  <c:y val="-0.1852919947506562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F1F-4F60-BF1E-D2873F11A31A}"/>
                </c:ext>
              </c:extLst>
            </c:dLbl>
            <c:dLbl>
              <c:idx val="17"/>
              <c:layout>
                <c:manualLayout>
                  <c:x val="2.7777777777777779E-3"/>
                  <c:y val="-0.1630643044619422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F1F-4F60-BF1E-D2873F11A31A}"/>
                </c:ext>
              </c:extLst>
            </c:dLbl>
            <c:dLbl>
              <c:idx val="18"/>
              <c:layout>
                <c:manualLayout>
                  <c:x val="2.777777777777676E-3"/>
                  <c:y val="-0.160275226013415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F1F-4F60-BF1E-D2873F11A31A}"/>
                </c:ext>
              </c:extLst>
            </c:dLbl>
            <c:dLbl>
              <c:idx val="19"/>
              <c:layout>
                <c:manualLayout>
                  <c:x val="0"/>
                  <c:y val="-0.2387890055409740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F1F-4F60-BF1E-D2873F11A3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Sheet1!$BT$44:$BT$69</c:f>
              <c:multiLvlStrCache>
                <c:ptCount val="20"/>
                <c:lvl>
                  <c:pt idx="0">
                    <c:v>IPL 2016</c:v>
                  </c:pt>
                  <c:pt idx="1">
                    <c:v>IPL 2017</c:v>
                  </c:pt>
                  <c:pt idx="2">
                    <c:v>IPL 2018</c:v>
                  </c:pt>
                  <c:pt idx="3">
                    <c:v>IPL 2019</c:v>
                  </c:pt>
                  <c:pt idx="4">
                    <c:v>IPL 2016</c:v>
                  </c:pt>
                  <c:pt idx="5">
                    <c:v>IPL 2017</c:v>
                  </c:pt>
                  <c:pt idx="6">
                    <c:v>IPL 2018</c:v>
                  </c:pt>
                  <c:pt idx="7">
                    <c:v>IPL 2019</c:v>
                  </c:pt>
                  <c:pt idx="8">
                    <c:v>IPL 2016</c:v>
                  </c:pt>
                  <c:pt idx="9">
                    <c:v>IPL 2017</c:v>
                  </c:pt>
                  <c:pt idx="10">
                    <c:v>IPL 2018</c:v>
                  </c:pt>
                  <c:pt idx="11">
                    <c:v>IPL 2019</c:v>
                  </c:pt>
                  <c:pt idx="12">
                    <c:v>IPL 2016</c:v>
                  </c:pt>
                  <c:pt idx="13">
                    <c:v>IPL 2017</c:v>
                  </c:pt>
                  <c:pt idx="14">
                    <c:v>IPL 2018</c:v>
                  </c:pt>
                  <c:pt idx="15">
                    <c:v>IPL 2019</c:v>
                  </c:pt>
                  <c:pt idx="16">
                    <c:v>IPL 2016</c:v>
                  </c:pt>
                  <c:pt idx="17">
                    <c:v>IPL 2017</c:v>
                  </c:pt>
                  <c:pt idx="18">
                    <c:v>IPL 2018</c:v>
                  </c:pt>
                  <c:pt idx="19">
                    <c:v>IPL 2019</c:v>
                  </c:pt>
                </c:lvl>
                <c:lvl>
                  <c:pt idx="0">
                    <c:v>JJ Bumrah</c:v>
                  </c:pt>
                  <c:pt idx="4">
                    <c:v>B Kumar</c:v>
                  </c:pt>
                  <c:pt idx="8">
                    <c:v>SP Narine</c:v>
                  </c:pt>
                  <c:pt idx="12">
                    <c:v>YS Chahal</c:v>
                  </c:pt>
                  <c:pt idx="16">
                    <c:v>Sandeep Sharma</c:v>
                  </c:pt>
                </c:lvl>
              </c:multiLvlStrCache>
            </c:multiLvlStrRef>
          </c:cat>
          <c:val>
            <c:numRef>
              <c:f>Sheet1!$BU$44:$BU$69</c:f>
              <c:numCache>
                <c:formatCode>General</c:formatCode>
                <c:ptCount val="20"/>
                <c:pt idx="0">
                  <c:v>52</c:v>
                </c:pt>
                <c:pt idx="1">
                  <c:v>59.2</c:v>
                </c:pt>
                <c:pt idx="2">
                  <c:v>54</c:v>
                </c:pt>
                <c:pt idx="3">
                  <c:v>61.4</c:v>
                </c:pt>
                <c:pt idx="4">
                  <c:v>66</c:v>
                </c:pt>
                <c:pt idx="5">
                  <c:v>52.2</c:v>
                </c:pt>
                <c:pt idx="6">
                  <c:v>46.1</c:v>
                </c:pt>
                <c:pt idx="7">
                  <c:v>59</c:v>
                </c:pt>
                <c:pt idx="8">
                  <c:v>42.4</c:v>
                </c:pt>
                <c:pt idx="9">
                  <c:v>59</c:v>
                </c:pt>
                <c:pt idx="10">
                  <c:v>61</c:v>
                </c:pt>
                <c:pt idx="11">
                  <c:v>44.2</c:v>
                </c:pt>
                <c:pt idx="12">
                  <c:v>49.1</c:v>
                </c:pt>
                <c:pt idx="13">
                  <c:v>43.3</c:v>
                </c:pt>
                <c:pt idx="14">
                  <c:v>50</c:v>
                </c:pt>
                <c:pt idx="15">
                  <c:v>49.2</c:v>
                </c:pt>
                <c:pt idx="16">
                  <c:v>50</c:v>
                </c:pt>
                <c:pt idx="17">
                  <c:v>48</c:v>
                </c:pt>
                <c:pt idx="18">
                  <c:v>44</c:v>
                </c:pt>
                <c:pt idx="19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F1F-4F60-BF1E-D2873F11A31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8115407"/>
        <c:axId val="588121231"/>
      </c:barChart>
      <c:catAx>
        <c:axId val="58811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21231"/>
        <c:crosses val="autoZero"/>
        <c:auto val="1"/>
        <c:lblAlgn val="ctr"/>
        <c:lblOffset val="100"/>
        <c:noMultiLvlLbl val="0"/>
      </c:catAx>
      <c:valAx>
        <c:axId val="5881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1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106680</xdr:rowOff>
    </xdr:from>
    <xdr:to>
      <xdr:col>8</xdr:col>
      <xdr:colOff>502920</xdr:colOff>
      <xdr:row>14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D10664-02AB-4DF0-B405-9FAA39BD0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38100</xdr:colOff>
      <xdr:row>0</xdr:row>
      <xdr:rowOff>121920</xdr:rowOff>
    </xdr:from>
    <xdr:to>
      <xdr:col>19</xdr:col>
      <xdr:colOff>381000</xdr:colOff>
      <xdr:row>15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7E5FAA-BB92-45A6-B826-DCC4A66B5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121920</xdr:colOff>
      <xdr:row>1</xdr:row>
      <xdr:rowOff>30480</xdr:rowOff>
    </xdr:from>
    <xdr:to>
      <xdr:col>27</xdr:col>
      <xdr:colOff>723900</xdr:colOff>
      <xdr:row>14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E748B5-8267-496B-97A8-796477E77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106680</xdr:colOff>
      <xdr:row>0</xdr:row>
      <xdr:rowOff>121920</xdr:rowOff>
    </xdr:from>
    <xdr:to>
      <xdr:col>33</xdr:col>
      <xdr:colOff>335280</xdr:colOff>
      <xdr:row>15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61EA65-552A-4F5D-B4DA-9A6DFD48F2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83820</xdr:colOff>
      <xdr:row>0</xdr:row>
      <xdr:rowOff>152400</xdr:rowOff>
    </xdr:from>
    <xdr:to>
      <xdr:col>39</xdr:col>
      <xdr:colOff>312420</xdr:colOff>
      <xdr:row>15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21166B-44DC-404F-A301-31715BC2A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190500</xdr:colOff>
      <xdr:row>0</xdr:row>
      <xdr:rowOff>121920</xdr:rowOff>
    </xdr:from>
    <xdr:to>
      <xdr:col>46</xdr:col>
      <xdr:colOff>487680</xdr:colOff>
      <xdr:row>21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7D563D-E1F7-476B-ABDC-64F6D021A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701040</xdr:colOff>
      <xdr:row>20</xdr:row>
      <xdr:rowOff>83820</xdr:rowOff>
    </xdr:from>
    <xdr:to>
      <xdr:col>45</xdr:col>
      <xdr:colOff>152400</xdr:colOff>
      <xdr:row>36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F3172EC-6F50-4B63-80BB-9EA3BAF62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906780</xdr:colOff>
      <xdr:row>45</xdr:row>
      <xdr:rowOff>99060</xdr:rowOff>
    </xdr:from>
    <xdr:to>
      <xdr:col>39</xdr:col>
      <xdr:colOff>464820</xdr:colOff>
      <xdr:row>60</xdr:row>
      <xdr:rowOff>99060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520BA60-4A80-45E2-8A86-8F2F6A9D2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60960</xdr:colOff>
      <xdr:row>38</xdr:row>
      <xdr:rowOff>22860</xdr:rowOff>
    </xdr:from>
    <xdr:to>
      <xdr:col>50</xdr:col>
      <xdr:colOff>91440</xdr:colOff>
      <xdr:row>53</xdr:row>
      <xdr:rowOff>22860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FBF4909-28D1-4BD6-A846-6E2E0D8BF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53</xdr:col>
      <xdr:colOff>236220</xdr:colOff>
      <xdr:row>40</xdr:row>
      <xdr:rowOff>99060</xdr:rowOff>
    </xdr:from>
    <xdr:to>
      <xdr:col>60</xdr:col>
      <xdr:colOff>30480</xdr:colOff>
      <xdr:row>55</xdr:row>
      <xdr:rowOff>99060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5CEA122-21AF-4B54-AD0F-743E66CF6C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91440</xdr:colOff>
      <xdr:row>41</xdr:row>
      <xdr:rowOff>60960</xdr:rowOff>
    </xdr:from>
    <xdr:to>
      <xdr:col>70</xdr:col>
      <xdr:colOff>76200</xdr:colOff>
      <xdr:row>56</xdr:row>
      <xdr:rowOff>60960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2D8269D-9478-493E-9D5D-01422480E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73</xdr:col>
      <xdr:colOff>106680</xdr:colOff>
      <xdr:row>41</xdr:row>
      <xdr:rowOff>145822</xdr:rowOff>
    </xdr:from>
    <xdr:to>
      <xdr:col>81</xdr:col>
      <xdr:colOff>373380</xdr:colOff>
      <xdr:row>58</xdr:row>
      <xdr:rowOff>37059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A6F08A4-CCE2-4D26-8DC7-4F796F6264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251460</xdr:colOff>
      <xdr:row>9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DDD075-C6B9-4E7A-B031-A8384BE1D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297180</xdr:colOff>
      <xdr:row>0</xdr:row>
      <xdr:rowOff>7620</xdr:rowOff>
    </xdr:from>
    <xdr:to>
      <xdr:col>11</xdr:col>
      <xdr:colOff>335280</xdr:colOff>
      <xdr:row>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802404-CE07-4E8F-8867-1759EA2F26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403860</xdr:colOff>
      <xdr:row>0</xdr:row>
      <xdr:rowOff>0</xdr:rowOff>
    </xdr:from>
    <xdr:to>
      <xdr:col>17</xdr:col>
      <xdr:colOff>426720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8F9016-1C84-4F0E-BA56-1C19269D4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457200</xdr:colOff>
      <xdr:row>0</xdr:row>
      <xdr:rowOff>0</xdr:rowOff>
    </xdr:from>
    <xdr:to>
      <xdr:col>23</xdr:col>
      <xdr:colOff>144780</xdr:colOff>
      <xdr:row>9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960F9A-0A29-4353-8950-3F36536BE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</xdr:row>
      <xdr:rowOff>167640</xdr:rowOff>
    </xdr:from>
    <xdr:to>
      <xdr:col>5</xdr:col>
      <xdr:colOff>259080</xdr:colOff>
      <xdr:row>19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948882B-CBA3-4C7D-B157-E1FA62ACE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335280</xdr:colOff>
      <xdr:row>10</xdr:row>
      <xdr:rowOff>30480</xdr:rowOff>
    </xdr:from>
    <xdr:to>
      <xdr:col>11</xdr:col>
      <xdr:colOff>342900</xdr:colOff>
      <xdr:row>19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249A6A-FBA4-4D0A-9C1C-3A0DFC522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495300</xdr:colOff>
      <xdr:row>14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C4C241-1ED8-45CA-A5A7-9A241F76B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365760</xdr:colOff>
      <xdr:row>0</xdr:row>
      <xdr:rowOff>0</xdr:rowOff>
    </xdr:from>
    <xdr:to>
      <xdr:col>23</xdr:col>
      <xdr:colOff>198120</xdr:colOff>
      <xdr:row>14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60CF5F-3CF0-42EB-9EFD-E0ED2BFFF7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152400</xdr:rowOff>
    </xdr:from>
    <xdr:to>
      <xdr:col>7</xdr:col>
      <xdr:colOff>487680</xdr:colOff>
      <xdr:row>29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64BB679-B7BF-4274-8ED8-0E1386C34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388620</xdr:colOff>
      <xdr:row>14</xdr:row>
      <xdr:rowOff>129540</xdr:rowOff>
    </xdr:from>
    <xdr:to>
      <xdr:col>23</xdr:col>
      <xdr:colOff>274320</xdr:colOff>
      <xdr:row>29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220B17-F9C3-447A-949B-7565602E4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-88194</xdr:colOff>
      <xdr:row>0</xdr:row>
      <xdr:rowOff>0</xdr:rowOff>
    </xdr:from>
    <xdr:to>
      <xdr:col>9</xdr:col>
      <xdr:colOff>400489</xdr:colOff>
      <xdr:row>14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38900A-2D63-49A9-8D3D-14B3BE67D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326107</xdr:colOff>
      <xdr:row>0</xdr:row>
      <xdr:rowOff>0</xdr:rowOff>
    </xdr:from>
    <xdr:to>
      <xdr:col>19</xdr:col>
      <xdr:colOff>410908</xdr:colOff>
      <xdr:row>14</xdr:row>
      <xdr:rowOff>59531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27A81C-F9F8-44B8-8D06-802B4794F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341686</xdr:colOff>
      <xdr:row>0</xdr:row>
      <xdr:rowOff>23226</xdr:rowOff>
    </xdr:from>
    <xdr:to>
      <xdr:col>29</xdr:col>
      <xdr:colOff>113096</xdr:colOff>
      <xdr:row>14</xdr:row>
      <xdr:rowOff>23226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52B644-10D1-4B01-AA1B-E82EE9120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49969</xdr:colOff>
      <xdr:row>0</xdr:row>
      <xdr:rowOff>36304</xdr:rowOff>
    </xdr:from>
    <xdr:to>
      <xdr:col>38</xdr:col>
      <xdr:colOff>94721</xdr:colOff>
      <xdr:row>14</xdr:row>
      <xdr:rowOff>48210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D406067-5C71-4A35-B439-D3B0ACA77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-58879</xdr:colOff>
      <xdr:row>14</xdr:row>
      <xdr:rowOff>84972</xdr:rowOff>
    </xdr:from>
    <xdr:to>
      <xdr:col>9</xdr:col>
      <xdr:colOff>408651</xdr:colOff>
      <xdr:row>31</xdr:row>
      <xdr:rowOff>89911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AE2CD9-749A-45FB-AE72-44ABE14274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424720</xdr:colOff>
      <xdr:row>14</xdr:row>
      <xdr:rowOff>65868</xdr:rowOff>
    </xdr:from>
    <xdr:to>
      <xdr:col>19</xdr:col>
      <xdr:colOff>374753</xdr:colOff>
      <xdr:row>31</xdr:row>
      <xdr:rowOff>46556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8D98FAF-D3FA-47EC-B6AA-B7CDEFD27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404571</xdr:colOff>
      <xdr:row>14</xdr:row>
      <xdr:rowOff>18958</xdr:rowOff>
    </xdr:from>
    <xdr:to>
      <xdr:col>29</xdr:col>
      <xdr:colOff>274820</xdr:colOff>
      <xdr:row>30</xdr:row>
      <xdr:rowOff>168419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B56D91E-DA23-43D7-9566-CF7AA57D1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237345</xdr:colOff>
      <xdr:row>14</xdr:row>
      <xdr:rowOff>28771</xdr:rowOff>
    </xdr:from>
    <xdr:to>
      <xdr:col>38</xdr:col>
      <xdr:colOff>138909</xdr:colOff>
      <xdr:row>30</xdr:row>
      <xdr:rowOff>171097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4BFD989-40A2-4C93-B378-C920450AC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24983</xdr:colOff>
      <xdr:row>31</xdr:row>
      <xdr:rowOff>99934</xdr:rowOff>
    </xdr:from>
    <xdr:to>
      <xdr:col>9</xdr:col>
      <xdr:colOff>337279</xdr:colOff>
      <xdr:row>47</xdr:row>
      <xdr:rowOff>90066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957E2FF-41FF-456B-B113-62787C0EC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333122</xdr:colOff>
      <xdr:row>31</xdr:row>
      <xdr:rowOff>74949</xdr:rowOff>
    </xdr:from>
    <xdr:to>
      <xdr:col>19</xdr:col>
      <xdr:colOff>441371</xdr:colOff>
      <xdr:row>47</xdr:row>
      <xdr:rowOff>62458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248D664-36A7-4978-ACE4-DDFE197AC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350344</xdr:colOff>
      <xdr:row>31</xdr:row>
      <xdr:rowOff>27301</xdr:rowOff>
    </xdr:from>
    <xdr:to>
      <xdr:col>29</xdr:col>
      <xdr:colOff>187378</xdr:colOff>
      <xdr:row>47</xdr:row>
      <xdr:rowOff>111857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F6A289C-9E14-461E-ABAA-886C266FD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224853</xdr:colOff>
      <xdr:row>31</xdr:row>
      <xdr:rowOff>24983</xdr:rowOff>
    </xdr:from>
    <xdr:to>
      <xdr:col>38</xdr:col>
      <xdr:colOff>113300</xdr:colOff>
      <xdr:row>47</xdr:row>
      <xdr:rowOff>32480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37A9DB1-B903-4006-977B-6F0A8B35D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548640</xdr:colOff>
      <xdr:row>14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896066-C2E3-4059-8B44-F769D2802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381000</xdr:colOff>
      <xdr:row>0</xdr:row>
      <xdr:rowOff>0</xdr:rowOff>
    </xdr:from>
    <xdr:to>
      <xdr:col>23</xdr:col>
      <xdr:colOff>137160</xdr:colOff>
      <xdr:row>14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E01ACD-BEE9-452B-A001-6E9EE65CF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99060</xdr:rowOff>
    </xdr:from>
    <xdr:to>
      <xdr:col>8</xdr:col>
      <xdr:colOff>548640</xdr:colOff>
      <xdr:row>29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8AAA32-32F9-4DEB-8E8C-3F99E2B8F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403860</xdr:colOff>
      <xdr:row>14</xdr:row>
      <xdr:rowOff>106680</xdr:rowOff>
    </xdr:from>
    <xdr:to>
      <xdr:col>23</xdr:col>
      <xdr:colOff>190500</xdr:colOff>
      <xdr:row>29</xdr:row>
      <xdr:rowOff>45720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BB8253-B926-4A66-92BA-9E1D8E973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365760</xdr:colOff>
      <xdr:row>15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BF269D-9E0F-454B-ADF3-2EEFC8524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396240</xdr:colOff>
      <xdr:row>0</xdr:row>
      <xdr:rowOff>0</xdr:rowOff>
    </xdr:from>
    <xdr:to>
      <xdr:col>23</xdr:col>
      <xdr:colOff>144780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D2FC5D-CCF2-4515-858D-7DC60A07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30480</xdr:colOff>
      <xdr:row>15</xdr:row>
      <xdr:rowOff>0</xdr:rowOff>
    </xdr:from>
    <xdr:to>
      <xdr:col>8</xdr:col>
      <xdr:colOff>381000</xdr:colOff>
      <xdr:row>29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BEDE60-49CB-40C8-AFDB-09CD54CA0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396240</xdr:colOff>
      <xdr:row>15</xdr:row>
      <xdr:rowOff>7620</xdr:rowOff>
    </xdr:from>
    <xdr:to>
      <xdr:col>23</xdr:col>
      <xdr:colOff>160020</xdr:colOff>
      <xdr:row>30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AB0480-6FB9-4EF1-BFEA-09E5EBF6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MAR ANKIT" refreshedDate="44173.626805324071" createdVersion="6" refreshedVersion="6" minRefreshableVersion="3" recordCount="631" xr:uid="{E71E28B5-9D14-441A-870B-B75E74DE90A1}">
  <cacheSource type="worksheet">
    <worksheetSource name="Table1"/>
  </cacheSource>
  <cacheFields count="31">
    <cacheField name="Team" numFmtId="0">
      <sharedItems count="12">
        <s v="Delhi Daredevils"/>
        <s v="Kings XI Punjab"/>
        <s v="Kolkata Knight Riders"/>
        <s v="Mumbai Indians"/>
        <s v="Royal Challengers Bangalore"/>
        <s v="Sunrisers Hyderabad"/>
        <s v="Gujarat Lions"/>
        <s v="Rising Pune Supergiants"/>
        <s v="Rising Pune Supergiant"/>
        <s v="Chennai Super Kings"/>
        <s v="Rajasthan Royals"/>
        <s v="Delhi Capitals"/>
      </sharedItems>
    </cacheField>
    <cacheField name="Player" numFmtId="0">
      <sharedItems count="268">
        <s v="CH Morris"/>
        <s v="JP Duminy"/>
        <s v="Q de Kock"/>
        <s v="KK Nair"/>
        <s v="P Negi"/>
        <s v="SV Samson"/>
        <s v="RR Pant"/>
        <s v="SW Billings"/>
        <s v="CR Brathwaite"/>
        <s v="MA Agarwal"/>
        <s v="SS Iyer"/>
        <s v="Imran Tahir"/>
        <s v="Z Khan"/>
        <s v="J Yadav"/>
        <s v="A Mishra"/>
        <s v="NM Coulter-Nile"/>
        <s v="Mohammed Shami"/>
        <s v="S Nadeem"/>
        <s v="GJ Maxwell"/>
        <s v="G Gambhir"/>
        <s v="C Munro"/>
        <s v="HV Patel"/>
        <s v="NV Ojha"/>
        <s v="AP Tare"/>
        <s v="TA Boult"/>
        <s v="CJ Anderson"/>
        <s v="K Rabada"/>
        <s v="AD Mathews"/>
        <s v="PJ Cummins"/>
        <s v="MN Samuels"/>
        <s v="AR Bawne"/>
        <s v="R Tewatia"/>
        <s v="Avesh Khan"/>
        <s v="V Shankar"/>
        <s v="JJ Roy"/>
        <s v="DT Christian"/>
        <s v="Abhishek Sharma"/>
        <s v="PP Shaw"/>
        <s v="LE Plunkett"/>
        <s v="CJ Dala"/>
        <s v="S Lamichhane"/>
        <s v="MP Stoinis"/>
        <s v="M Vijay"/>
        <s v="SE Marsh"/>
        <s v="HM Amla"/>
        <s v="WP Saha"/>
        <s v="M Vohra"/>
        <s v="Gurkeerat Singh"/>
        <s v="P Sahu"/>
        <s v="DA Miller"/>
        <s v="AR Patel"/>
        <s v="KJ Abbott"/>
        <s v="KC Cariappa"/>
        <s v="NS Naik"/>
        <s v="MM Sharma"/>
        <s v="F Behardien"/>
        <s v="MG Johnson"/>
        <s v="Swapnil Singh"/>
        <s v="R Dhawan"/>
        <s v="Sandeep Sharma"/>
        <s v="Anureet Singh"/>
        <s v="AS Rajpoot"/>
        <s v="MJ Guptill"/>
        <s v="KL Rahul"/>
        <s v="SN Khan"/>
        <s v="CH Gayle"/>
        <s v="VR Aaron"/>
        <s v="Mandeep Singh"/>
        <s v="Yuvraj Singh"/>
        <s v="EJG Morgan"/>
        <s v="BB Sran"/>
        <s v="AJ Finch"/>
        <s v="AD Nath"/>
        <s v="R Ashwin"/>
        <s v="M Ashwin"/>
        <s v="I Sharma"/>
        <s v="MJ Henry"/>
        <s v="T Natarajan"/>
        <s v="AJ Tye"/>
        <s v="MK Tiwary"/>
        <s v="Mujeeb Ur Rahman"/>
        <s v="N Pooran"/>
        <s v="SM Curran"/>
        <s v="P Simran Singh"/>
        <s v="GC Viljoen"/>
        <s v="Harpreet Brar"/>
        <s v="Arshdeep Singh"/>
        <s v="CV Varun"/>
        <s v="YK Pathan"/>
        <s v="MK Pandey"/>
        <s v="AD Russell"/>
        <s v="RV Uthappa"/>
        <s v="SA Yadav"/>
        <s v="CA Lynn"/>
        <s v="Shakib Al Hasan"/>
        <s v="PP Chawla"/>
        <s v="UT Yadav"/>
        <s v="R Sathish"/>
        <s v="SP Narine"/>
        <s v="JO Holder"/>
        <s v="M Morkel"/>
        <s v="GB Hogg"/>
        <s v="JW Hastings"/>
        <s v="Kuldeep Yadav"/>
        <s v="JD Unadkat"/>
        <s v="N Rana"/>
        <s v="R Vinay Kumar"/>
        <s v="KD Karthik"/>
        <s v="IR Jaggi"/>
        <s v="SP Jackson"/>
        <s v="C de Grandhomme"/>
        <s v="CR Woakes"/>
        <s v="DM Bravo"/>
        <s v="LH Ferguson"/>
        <s v="Shubman Gill"/>
        <s v="JPR Scantlebury-Searles"/>
        <s v="TK Curran"/>
        <s v="RK Singh"/>
        <s v="Shivam Mavi"/>
        <s v="M Prasidh Krishna"/>
        <s v="JL Denly"/>
        <s v="HF Gurney"/>
        <s v="Y Prithvi Raj"/>
        <s v="S Sandeep Warrier"/>
        <s v="RG Sharma"/>
        <s v="KH Pandya"/>
        <s v="Harbhajan Singh"/>
        <s v="AT Rayudu"/>
        <s v="KA Pollard"/>
        <s v="JC Buttler"/>
        <s v="PA Patel"/>
        <s v="MJ McClenaghan"/>
        <s v="TG Southee"/>
        <s v="JJ Bumrah"/>
        <s v="LMP Simmons"/>
        <s v="HH Pandya"/>
        <s v="S Gopal"/>
        <s v="UBT Chand"/>
        <s v="J Suchith"/>
        <s v="BCJ Cutting"/>
        <s v="KV Sharma"/>
        <s v="Mustafizur Rahman"/>
        <s v="Ishan Kishan"/>
        <s v="PJ Sangwan"/>
        <s v="SS Tiwary"/>
        <s v="SL Malinga"/>
        <s v="RD Chahar"/>
        <s v="E Lewis"/>
        <s v="M Markande"/>
        <s v="A Dananjaya"/>
        <s v="SD Lad"/>
        <s v="AS Joseph"/>
        <s v="Rasikh Salam"/>
        <s v="JP Behrendorff"/>
        <s v="AS Roy"/>
        <s v="V Kohli"/>
        <s v="AB de Villiers"/>
        <s v="Sachin Baby"/>
        <s v="TM Head"/>
        <s v="STR Binny"/>
        <s v="SR Watson"/>
        <s v="Parvez Rasool"/>
        <s v="CJ Jordan"/>
        <s v="KM Jadhav"/>
        <s v="Iqbal Abdulla"/>
        <s v="D Wiese"/>
        <s v="KW Richardson"/>
        <s v="S Aravind"/>
        <s v="YS Chahal"/>
        <s v="AF Milne"/>
        <s v="T Shamsi"/>
        <s v="BB McCullum"/>
        <s v="DW Steyn"/>
        <s v="A Choudhary"/>
        <s v="Vishnu Vinod"/>
        <s v="TS Mills"/>
        <s v="S Badree"/>
        <s v="B Stanlake"/>
        <s v="Mohammed Siraj"/>
        <s v="Washington Sundar"/>
        <s v="H Klaasen"/>
        <s v="MM Ali"/>
        <s v="K Khejroliya"/>
        <s v="P Ray Barman"/>
        <s v="SO Hetmyer"/>
        <s v="S Dube"/>
        <s v="NA Saini"/>
        <s v="DA Warner"/>
        <s v="S Dhawan"/>
        <s v="Bipul Sharma"/>
        <s v="A Ashish Reddy"/>
        <s v="KS Williamson"/>
        <s v="MC Henriques"/>
        <s v="DJ Hooda"/>
        <s v="B Kumar"/>
        <s v="A Nehra"/>
        <s v="Rashid Khan"/>
        <s v="Mohammad Nabi"/>
        <s v="S Kaul"/>
        <s v="Basil Thampi"/>
        <s v="AD Hales"/>
        <s v="SP Goswami"/>
        <s v="RK Bhui"/>
        <s v="KK Ahmed"/>
        <s v="JM Bairstow"/>
        <s v="DR Smith"/>
        <s v="SK Raina"/>
        <s v="JP Faulkner"/>
        <s v="RA Jadeja"/>
        <s v="DS Kulkarni"/>
        <s v="DJ Bravo"/>
        <s v="ER Dwivedi"/>
        <s v="P Kumar"/>
        <s v="S Kaushik"/>
        <s v="PV Tambe"/>
        <s v="SB Jakati"/>
        <s v="S Ladda"/>
        <s v="IK Pathan"/>
        <s v="Ankit Soni"/>
        <s v="MM Patel"/>
        <s v="SS Agarwal"/>
        <s v="MS Gony"/>
        <s v="NB Singh"/>
        <s v="Tejas Baroka"/>
        <s v="SPD Smith"/>
        <s v="AM Rahane"/>
        <s v="MS Dhoni"/>
        <s v="KP Pietersen"/>
        <s v="F du Plessis"/>
        <s v="R Bhatia"/>
        <s v="NLTC Perera"/>
        <s v="UT Khawaja"/>
        <s v="GJ Bailey"/>
        <s v="JA Morkel"/>
        <s v="MR Marsh"/>
        <s v="PSP Handscomb"/>
        <s v="A Zampa"/>
        <s v="Ankit Sharma"/>
        <s v="SM Boland"/>
        <s v="DL Chahar"/>
        <s v="AB Dinda"/>
        <s v="RP Singh"/>
        <s v="BA Stokes"/>
        <s v="RA Tripathi"/>
        <s v="SN Thakur"/>
        <s v="DR Shorey"/>
        <s v="MA Wood"/>
        <s v="KM Asif"/>
        <s v="L Ngidi"/>
        <s v="DJ Willey"/>
        <s v="MJ Santner"/>
        <s v="SC Kuggeleijn"/>
        <s v="MK Lomror"/>
        <s v="DJM Short"/>
        <s v="K Gowtham"/>
        <s v="P Chopra"/>
        <s v="JC Archer"/>
        <s v="B Laughlin"/>
        <s v="IS Sodhi"/>
        <s v="R Parag"/>
        <s v="LS Livingstone"/>
        <s v="AJ Turner"/>
        <s v="S Midhun"/>
        <s v="O Thomas"/>
        <s v="CA Ingram"/>
        <s v="SE Rutherford"/>
        <s v="KMA Paul"/>
        <s v="GH Vihari"/>
      </sharedItems>
    </cacheField>
    <cacheField name="Tournament" numFmtId="0">
      <sharedItems count="4">
        <s v="IPL 2016"/>
        <s v="IPL 2017"/>
        <s v="IPL 2018"/>
        <s v="IPL 2019"/>
      </sharedItems>
    </cacheField>
    <cacheField name="Matches" numFmtId="0">
      <sharedItems containsSemiMixedTypes="0" containsString="0" containsNumber="1" containsInteger="1" minValue="1" maxValue="17"/>
    </cacheField>
    <cacheField name="Batting Innings" numFmtId="0">
      <sharedItems containsMixedTypes="1" containsNumber="1" containsInteger="1" minValue="1" maxValue="17"/>
    </cacheField>
    <cacheField name="Not Out" numFmtId="0">
      <sharedItems containsMixedTypes="1" containsNumber="1" containsInteger="1" minValue="0" maxValue="9"/>
    </cacheField>
    <cacheField name="Runds Scored" numFmtId="0">
      <sharedItems containsMixedTypes="1" containsNumber="1" containsInteger="1" minValue="0" maxValue="973"/>
    </cacheField>
    <cacheField name="Highest Score" numFmtId="0">
      <sharedItems containsMixedTypes="1" containsNumber="1" containsInteger="1" minValue="0" maxValue="126"/>
    </cacheField>
    <cacheField name="Batting Average" numFmtId="0">
      <sharedItems containsMixedTypes="1" containsNumber="1" minValue="0" maxValue="83.2"/>
    </cacheField>
    <cacheField name="Balls Faced" numFmtId="0">
      <sharedItems containsMixedTypes="1" containsNumber="1" containsInteger="1" minValue="0" maxValue="640"/>
    </cacheField>
    <cacheField name="Batting Strike Rate" numFmtId="0">
      <sharedItems containsMixedTypes="1" containsNumber="1" minValue="0" maxValue="333.33"/>
    </cacheField>
    <cacheField name="100" numFmtId="0">
      <sharedItems containsMixedTypes="1" containsNumber="1" containsInteger="1" minValue="0" maxValue="4"/>
    </cacheField>
    <cacheField name="50" numFmtId="0">
      <sharedItems containsMixedTypes="1" containsNumber="1" containsInteger="1" minValue="0" maxValue="9"/>
    </cacheField>
    <cacheField name="0" numFmtId="0">
      <sharedItems containsMixedTypes="1" containsNumber="1" containsInteger="1" minValue="0" maxValue="3"/>
    </cacheField>
    <cacheField name="4s" numFmtId="0">
      <sharedItems containsMixedTypes="1" containsNumber="1" containsInteger="1" minValue="0" maxValue="88"/>
    </cacheField>
    <cacheField name="6s" numFmtId="0">
      <sharedItems containsMixedTypes="1" containsNumber="1" containsInteger="1" minValue="0" maxValue="52"/>
    </cacheField>
    <cacheField name="Bowling Innings" numFmtId="0">
      <sharedItems containsMixedTypes="1" containsNumber="1" containsInteger="1" minValue="1" maxValue="17"/>
    </cacheField>
    <cacheField name="Overs Bowled" numFmtId="0">
      <sharedItems containsMixedTypes="1" containsNumber="1" minValue="0.2" maxValue="68"/>
    </cacheField>
    <cacheField name="Maidens Bowled" numFmtId="0">
      <sharedItems containsMixedTypes="1" containsNumber="1" containsInteger="1" minValue="0" maxValue="4"/>
    </cacheField>
    <cacheField name="Runs Conceded" numFmtId="0">
      <sharedItems containsMixedTypes="1" containsNumber="1" containsInteger="1" minValue="3" maxValue="547"/>
    </cacheField>
    <cacheField name="Wickets Taken" numFmtId="0">
      <sharedItems containsMixedTypes="1" containsNumber="1" containsInteger="1" minValue="0" maxValue="26"/>
    </cacheField>
    <cacheField name="Best Bowling Figures" numFmtId="0">
      <sharedItems containsDate="1" containsMixedTypes="1" minDate="1930-01-01T00:00:00" maxDate="2029-04-02T00:00:00"/>
    </cacheField>
    <cacheField name="Bowling Average" numFmtId="0">
      <sharedItems containsMixedTypes="1" containsNumber="1" minValue="4" maxValue="248"/>
    </cacheField>
    <cacheField name="Bowling Economy Rate" numFmtId="0">
      <sharedItems containsMixedTypes="1" containsNumber="1" minValue="3" maxValue="18"/>
    </cacheField>
    <cacheField name="Bowling Strike Rate" numFmtId="0">
      <sharedItems containsMixedTypes="1" containsNumber="1" minValue="5" maxValue="144"/>
    </cacheField>
    <cacheField name="4+ Innings Wickets" numFmtId="0">
      <sharedItems containsMixedTypes="1" containsNumber="1" containsInteger="1" minValue="0" maxValue="3"/>
    </cacheField>
    <cacheField name="5+ Innings Wickets" numFmtId="0">
      <sharedItems containsMixedTypes="1" containsNumber="1" containsInteger="1" minValue="0" maxValue="1"/>
    </cacheField>
    <cacheField name="Catches Taken" numFmtId="0">
      <sharedItems containsSemiMixedTypes="0" containsString="0" containsNumber="1" containsInteger="1" minValue="0" maxValue="19"/>
    </cacheField>
    <cacheField name="Stumpings Made" numFmtId="0">
      <sharedItems containsSemiMixedTypes="0" containsString="0" containsNumber="1" containsInteger="1" minValue="0" maxValue="6"/>
    </cacheField>
    <cacheField name="Toss win" numFmtId="0">
      <sharedItems containsSemiMixedTypes="0" containsString="0" containsNumber="1" containsInteger="1" minValue="3" maxValue="18"/>
    </cacheField>
    <cacheField name="bowlng avg" numFmtId="0">
      <sharedItems containsMixedTypes="1" containsNumber="1" minValue="4" maxValue="2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1">
  <r>
    <x v="0"/>
    <x v="0"/>
    <x v="0"/>
    <n v="12"/>
    <n v="7"/>
    <n v="4"/>
    <n v="195"/>
    <s v="82*"/>
    <n v="65"/>
    <n v="109"/>
    <n v="178.89"/>
    <n v="0"/>
    <n v="1"/>
    <n v="1"/>
    <n v="15"/>
    <n v="12"/>
    <n v="12"/>
    <n v="44"/>
    <n v="0"/>
    <n v="308"/>
    <n v="13"/>
    <d v="1930-02-01T00:00:00"/>
    <n v="23.69"/>
    <n v="7"/>
    <n v="20.3"/>
    <n v="0"/>
    <n v="0"/>
    <n v="8"/>
    <n v="0"/>
    <n v="5"/>
    <n v="23.692307692307693"/>
  </r>
  <r>
    <x v="0"/>
    <x v="0"/>
    <x v="1"/>
    <n v="9"/>
    <n v="9"/>
    <n v="4"/>
    <n v="154"/>
    <s v="52*"/>
    <n v="30.8"/>
    <n v="94"/>
    <n v="163.82"/>
    <n v="0"/>
    <n v="1"/>
    <n v="0"/>
    <n v="15"/>
    <n v="6"/>
    <n v="9"/>
    <n v="31"/>
    <n v="0"/>
    <n v="240"/>
    <n v="12"/>
    <d v="2026-04-01T00:00:00"/>
    <n v="20"/>
    <n v="7.74"/>
    <n v="15.5"/>
    <n v="1"/>
    <n v="0"/>
    <n v="5"/>
    <n v="0"/>
    <n v="5"/>
    <n v="20"/>
  </r>
  <r>
    <x v="0"/>
    <x v="0"/>
    <x v="2"/>
    <n v="4"/>
    <n v="4"/>
    <n v="3"/>
    <n v="46"/>
    <s v="27*"/>
    <n v="46"/>
    <n v="26"/>
    <n v="176.92"/>
    <n v="0"/>
    <n v="0"/>
    <n v="0"/>
    <n v="3"/>
    <n v="2"/>
    <n v="4"/>
    <n v="14"/>
    <n v="0"/>
    <n v="143"/>
    <n v="3"/>
    <d v="1941-02-01T00:00:00"/>
    <n v="47.66"/>
    <n v="10.210000000000001"/>
    <n v="28"/>
    <n v="0"/>
    <n v="0"/>
    <n v="2"/>
    <n v="0"/>
    <n v="13"/>
    <n v="47.666666666666664"/>
  </r>
  <r>
    <x v="0"/>
    <x v="1"/>
    <x v="0"/>
    <n v="10"/>
    <n v="8"/>
    <n v="3"/>
    <n v="191"/>
    <s v="49*"/>
    <n v="38.200000000000003"/>
    <n v="156"/>
    <n v="122.43"/>
    <n v="0"/>
    <n v="0"/>
    <n v="0"/>
    <n v="13"/>
    <n v="3"/>
    <n v="5"/>
    <n v="7"/>
    <n v="0"/>
    <n v="55"/>
    <n v="2"/>
    <d v="2020-04-01T00:00:00"/>
    <n v="27.5"/>
    <n v="7.85"/>
    <n v="21"/>
    <n v="0"/>
    <n v="0"/>
    <n v="3"/>
    <n v="0"/>
    <n v="15"/>
    <n v="27.5"/>
  </r>
  <r>
    <x v="0"/>
    <x v="2"/>
    <x v="0"/>
    <n v="13"/>
    <n v="13"/>
    <n v="1"/>
    <n v="445"/>
    <n v="108"/>
    <n v="37.08"/>
    <n v="327"/>
    <n v="136.08000000000001"/>
    <n v="1"/>
    <n v="3"/>
    <n v="0"/>
    <n v="52"/>
    <n v="13"/>
    <s v="-"/>
    <s v="-"/>
    <s v="-"/>
    <s v="-"/>
    <s v="-"/>
    <s v="-"/>
    <s v="-"/>
    <s v="-"/>
    <s v="-"/>
    <s v="-"/>
    <s v="-"/>
    <n v="2"/>
    <n v="2"/>
    <n v="4"/>
    <e v="#VALUE!"/>
  </r>
  <r>
    <x v="0"/>
    <x v="3"/>
    <x v="0"/>
    <n v="14"/>
    <n v="12"/>
    <n v="2"/>
    <n v="357"/>
    <s v="83*"/>
    <n v="35.700000000000003"/>
    <n v="297"/>
    <n v="120.2"/>
    <n v="0"/>
    <n v="3"/>
    <n v="0"/>
    <n v="40"/>
    <n v="6"/>
    <s v="-"/>
    <s v="-"/>
    <s v="-"/>
    <s v="-"/>
    <s v="-"/>
    <s v="-"/>
    <s v="-"/>
    <s v="-"/>
    <s v="-"/>
    <s v="-"/>
    <s v="-"/>
    <n v="3"/>
    <n v="0"/>
    <n v="16"/>
    <e v="#VALUE!"/>
  </r>
  <r>
    <x v="0"/>
    <x v="3"/>
    <x v="1"/>
    <n v="14"/>
    <n v="13"/>
    <n v="0"/>
    <n v="281"/>
    <n v="64"/>
    <n v="21.61"/>
    <n v="226"/>
    <n v="124.33"/>
    <n v="0"/>
    <n v="1"/>
    <n v="1"/>
    <n v="39"/>
    <n v="6"/>
    <s v="-"/>
    <s v="-"/>
    <s v="-"/>
    <s v="-"/>
    <s v="-"/>
    <s v="-"/>
    <s v="-"/>
    <s v="-"/>
    <s v="-"/>
    <s v="-"/>
    <s v="-"/>
    <n v="2"/>
    <n v="0"/>
    <n v="8"/>
    <e v="#VALUE!"/>
  </r>
  <r>
    <x v="0"/>
    <x v="4"/>
    <x v="0"/>
    <n v="8"/>
    <n v="6"/>
    <n v="4"/>
    <n v="57"/>
    <s v="19*"/>
    <n v="28.5"/>
    <n v="59"/>
    <n v="96.61"/>
    <n v="0"/>
    <n v="0"/>
    <n v="0"/>
    <n v="2"/>
    <n v="3"/>
    <n v="5"/>
    <n v="9"/>
    <n v="0"/>
    <n v="84"/>
    <n v="1"/>
    <d v="2019-01-01T00:00:00"/>
    <n v="84"/>
    <n v="9.33"/>
    <n v="54"/>
    <n v="0"/>
    <n v="0"/>
    <n v="2"/>
    <n v="0"/>
    <n v="14"/>
    <n v="84"/>
  </r>
  <r>
    <x v="0"/>
    <x v="5"/>
    <x v="0"/>
    <n v="14"/>
    <n v="14"/>
    <n v="3"/>
    <n v="291"/>
    <n v="60"/>
    <n v="26.45"/>
    <n v="259"/>
    <n v="112.35"/>
    <n v="0"/>
    <n v="1"/>
    <n v="0"/>
    <n v="20"/>
    <n v="8"/>
    <s v="-"/>
    <s v="-"/>
    <s v="-"/>
    <s v="-"/>
    <s v="-"/>
    <s v="-"/>
    <s v="-"/>
    <s v="-"/>
    <s v="-"/>
    <s v="-"/>
    <s v="-"/>
    <n v="3"/>
    <n v="1"/>
    <n v="4"/>
    <e v="#VALUE!"/>
  </r>
  <r>
    <x v="0"/>
    <x v="5"/>
    <x v="1"/>
    <n v="14"/>
    <n v="14"/>
    <n v="0"/>
    <n v="386"/>
    <n v="102"/>
    <n v="27.57"/>
    <n v="273"/>
    <n v="141.38999999999999"/>
    <n v="1"/>
    <n v="2"/>
    <n v="2"/>
    <n v="32"/>
    <n v="19"/>
    <s v="-"/>
    <s v="-"/>
    <s v="-"/>
    <s v="-"/>
    <s v="-"/>
    <s v="-"/>
    <s v="-"/>
    <s v="-"/>
    <s v="-"/>
    <s v="-"/>
    <s v="-"/>
    <n v="4"/>
    <n v="0"/>
    <n v="16"/>
    <e v="#VALUE!"/>
  </r>
  <r>
    <x v="0"/>
    <x v="6"/>
    <x v="0"/>
    <n v="10"/>
    <n v="10"/>
    <n v="2"/>
    <n v="198"/>
    <n v="69"/>
    <n v="24.75"/>
    <n v="152"/>
    <n v="130.26"/>
    <n v="0"/>
    <n v="1"/>
    <n v="0"/>
    <n v="19"/>
    <n v="6"/>
    <s v="-"/>
    <s v="-"/>
    <s v="-"/>
    <s v="-"/>
    <s v="-"/>
    <s v="-"/>
    <s v="-"/>
    <s v="-"/>
    <s v="-"/>
    <s v="-"/>
    <s v="-"/>
    <n v="3"/>
    <n v="0"/>
    <n v="12"/>
    <e v="#VALUE!"/>
  </r>
  <r>
    <x v="0"/>
    <x v="6"/>
    <x v="1"/>
    <n v="14"/>
    <n v="14"/>
    <n v="0"/>
    <n v="366"/>
    <n v="97"/>
    <n v="26.14"/>
    <n v="221"/>
    <n v="165.61"/>
    <n v="0"/>
    <n v="2"/>
    <n v="3"/>
    <n v="28"/>
    <n v="24"/>
    <s v="-"/>
    <s v="-"/>
    <s v="-"/>
    <s v="-"/>
    <s v="-"/>
    <s v="-"/>
    <s v="-"/>
    <s v="-"/>
    <s v="-"/>
    <s v="-"/>
    <s v="-"/>
    <n v="8"/>
    <n v="3"/>
    <n v="7"/>
    <e v="#VALUE!"/>
  </r>
  <r>
    <x v="0"/>
    <x v="6"/>
    <x v="2"/>
    <n v="14"/>
    <n v="14"/>
    <n v="1"/>
    <n v="684"/>
    <s v="128*"/>
    <n v="52.61"/>
    <n v="394"/>
    <n v="173.6"/>
    <n v="1"/>
    <n v="5"/>
    <n v="1"/>
    <n v="68"/>
    <n v="37"/>
    <s v="-"/>
    <s v="-"/>
    <s v="-"/>
    <s v="-"/>
    <s v="-"/>
    <s v="-"/>
    <s v="-"/>
    <s v="-"/>
    <s v="-"/>
    <s v="-"/>
    <s v="-"/>
    <n v="4"/>
    <n v="2"/>
    <n v="10"/>
    <e v="#VALUE!"/>
  </r>
  <r>
    <x v="0"/>
    <x v="7"/>
    <x v="0"/>
    <n v="5"/>
    <n v="4"/>
    <n v="0"/>
    <n v="88"/>
    <n v="54"/>
    <n v="22"/>
    <n v="64"/>
    <n v="137.5"/>
    <n v="0"/>
    <n v="1"/>
    <n v="0"/>
    <n v="4"/>
    <n v="4"/>
    <s v="-"/>
    <s v="-"/>
    <s v="-"/>
    <s v="-"/>
    <s v="-"/>
    <s v="-"/>
    <s v="-"/>
    <s v="-"/>
    <s v="-"/>
    <s v="-"/>
    <s v="-"/>
    <n v="3"/>
    <n v="0"/>
    <n v="12"/>
    <e v="#VALUE!"/>
  </r>
  <r>
    <x v="0"/>
    <x v="7"/>
    <x v="1"/>
    <n v="6"/>
    <n v="6"/>
    <n v="0"/>
    <n v="138"/>
    <n v="55"/>
    <n v="23"/>
    <n v="104"/>
    <n v="132.69"/>
    <n v="0"/>
    <n v="1"/>
    <n v="1"/>
    <n v="19"/>
    <n v="1"/>
    <s v="-"/>
    <s v="-"/>
    <s v="-"/>
    <s v="-"/>
    <s v="-"/>
    <s v="-"/>
    <s v="-"/>
    <s v="-"/>
    <s v="-"/>
    <s v="-"/>
    <s v="-"/>
    <n v="4"/>
    <n v="0"/>
    <n v="17"/>
    <e v="#VALUE!"/>
  </r>
  <r>
    <x v="0"/>
    <x v="8"/>
    <x v="0"/>
    <n v="8"/>
    <n v="6"/>
    <n v="0"/>
    <n v="83"/>
    <n v="34"/>
    <n v="13.83"/>
    <n v="38"/>
    <n v="218.42"/>
    <n v="0"/>
    <n v="0"/>
    <n v="0"/>
    <n v="6"/>
    <n v="8"/>
    <n v="8"/>
    <n v="23.1"/>
    <n v="0"/>
    <n v="189"/>
    <n v="7"/>
    <d v="1947-03-01T00:00:00"/>
    <n v="27"/>
    <n v="8.15"/>
    <n v="19.8"/>
    <n v="0"/>
    <n v="0"/>
    <n v="3"/>
    <n v="0"/>
    <n v="5"/>
    <n v="27"/>
  </r>
  <r>
    <x v="0"/>
    <x v="8"/>
    <x v="1"/>
    <n v="2"/>
    <n v="2"/>
    <n v="0"/>
    <n v="12"/>
    <n v="11"/>
    <n v="6"/>
    <n v="15"/>
    <n v="80"/>
    <n v="0"/>
    <n v="0"/>
    <n v="0"/>
    <n v="2"/>
    <n v="0"/>
    <n v="2"/>
    <n v="6"/>
    <n v="0"/>
    <n v="67"/>
    <n v="1"/>
    <d v="1938-01-01T00:00:00"/>
    <n v="67"/>
    <n v="11.16"/>
    <n v="36"/>
    <n v="0"/>
    <n v="0"/>
    <n v="0"/>
    <n v="0"/>
    <n v="6"/>
    <n v="67"/>
  </r>
  <r>
    <x v="0"/>
    <x v="9"/>
    <x v="0"/>
    <n v="3"/>
    <n v="3"/>
    <n v="0"/>
    <n v="27"/>
    <n v="10"/>
    <n v="9"/>
    <n v="25"/>
    <n v="108"/>
    <n v="0"/>
    <n v="0"/>
    <n v="0"/>
    <n v="3"/>
    <n v="1"/>
    <s v="-"/>
    <s v="-"/>
    <s v="-"/>
    <s v="-"/>
    <s v="-"/>
    <s v="-"/>
    <s v="-"/>
    <s v="-"/>
    <s v="-"/>
    <s v="-"/>
    <s v="-"/>
    <n v="0"/>
    <n v="0"/>
    <n v="8"/>
    <e v="#VALUE!"/>
  </r>
  <r>
    <x v="0"/>
    <x v="10"/>
    <x v="0"/>
    <n v="6"/>
    <n v="6"/>
    <n v="0"/>
    <n v="30"/>
    <n v="19"/>
    <n v="5"/>
    <n v="43"/>
    <n v="69.760000000000005"/>
    <n v="0"/>
    <n v="0"/>
    <n v="3"/>
    <n v="2"/>
    <n v="1"/>
    <s v="-"/>
    <s v="-"/>
    <s v="-"/>
    <s v="-"/>
    <s v="-"/>
    <s v="-"/>
    <s v="-"/>
    <s v="-"/>
    <s v="-"/>
    <s v="-"/>
    <s v="-"/>
    <n v="4"/>
    <n v="0"/>
    <n v="3"/>
    <e v="#VALUE!"/>
  </r>
  <r>
    <x v="0"/>
    <x v="10"/>
    <x v="1"/>
    <n v="12"/>
    <n v="12"/>
    <n v="2"/>
    <n v="338"/>
    <n v="96"/>
    <n v="33.799999999999997"/>
    <n v="243"/>
    <n v="139.09"/>
    <n v="0"/>
    <n v="2"/>
    <n v="0"/>
    <n v="36"/>
    <n v="10"/>
    <s v="-"/>
    <s v="-"/>
    <s v="-"/>
    <s v="-"/>
    <s v="-"/>
    <s v="-"/>
    <s v="-"/>
    <s v="-"/>
    <s v="-"/>
    <s v="-"/>
    <s v="-"/>
    <n v="3"/>
    <n v="0"/>
    <n v="10"/>
    <e v="#VALUE!"/>
  </r>
  <r>
    <x v="0"/>
    <x v="10"/>
    <x v="2"/>
    <n v="14"/>
    <n v="14"/>
    <n v="3"/>
    <n v="411"/>
    <s v="93*"/>
    <n v="37.36"/>
    <n v="310"/>
    <n v="132.58000000000001"/>
    <n v="0"/>
    <n v="4"/>
    <n v="0"/>
    <n v="29"/>
    <n v="21"/>
    <s v="-"/>
    <s v="-"/>
    <s v="-"/>
    <s v="-"/>
    <s v="-"/>
    <s v="-"/>
    <s v="-"/>
    <s v="-"/>
    <s v="-"/>
    <s v="-"/>
    <s v="-"/>
    <n v="5"/>
    <n v="0"/>
    <n v="14"/>
    <e v="#VALUE!"/>
  </r>
  <r>
    <x v="0"/>
    <x v="11"/>
    <x v="0"/>
    <n v="4"/>
    <n v="1"/>
    <n v="0"/>
    <n v="5"/>
    <n v="5"/>
    <n v="5"/>
    <n v="7"/>
    <n v="71.42"/>
    <n v="0"/>
    <n v="0"/>
    <n v="0"/>
    <n v="1"/>
    <n v="0"/>
    <n v="4"/>
    <n v="16"/>
    <n v="0"/>
    <n v="138"/>
    <n v="5"/>
    <d v="2024-03-01T00:00:00"/>
    <n v="27.6"/>
    <n v="8.6199999999999992"/>
    <n v="19.2"/>
    <n v="0"/>
    <n v="0"/>
    <n v="0"/>
    <n v="0"/>
    <n v="7"/>
    <n v="27.6"/>
  </r>
  <r>
    <x v="0"/>
    <x v="12"/>
    <x v="0"/>
    <n v="12"/>
    <n v="2"/>
    <n v="0"/>
    <n v="6"/>
    <n v="4"/>
    <n v="3"/>
    <n v="13"/>
    <n v="46.15"/>
    <n v="0"/>
    <n v="0"/>
    <n v="0"/>
    <n v="1"/>
    <n v="0"/>
    <n v="12"/>
    <n v="43.4"/>
    <n v="1"/>
    <n v="337"/>
    <n v="10"/>
    <d v="2021-03-01T00:00:00"/>
    <n v="33.700000000000003"/>
    <n v="7.71"/>
    <n v="26.2"/>
    <n v="0"/>
    <n v="0"/>
    <n v="0"/>
    <n v="0"/>
    <n v="13"/>
    <n v="33.700000000000003"/>
  </r>
  <r>
    <x v="0"/>
    <x v="12"/>
    <x v="1"/>
    <n v="11"/>
    <n v="3"/>
    <n v="2"/>
    <n v="4"/>
    <n v="2"/>
    <n v="4"/>
    <n v="13"/>
    <n v="30.76"/>
    <n v="0"/>
    <n v="0"/>
    <n v="0"/>
    <n v="0"/>
    <n v="0"/>
    <n v="11"/>
    <n v="40.1"/>
    <n v="0"/>
    <n v="313"/>
    <n v="10"/>
    <d v="2020-03-01T00:00:00"/>
    <n v="31.3"/>
    <n v="7.79"/>
    <n v="24.1"/>
    <n v="0"/>
    <n v="0"/>
    <n v="4"/>
    <n v="0"/>
    <n v="12"/>
    <n v="31.3"/>
  </r>
  <r>
    <x v="0"/>
    <x v="13"/>
    <x v="0"/>
    <n v="5"/>
    <n v="2"/>
    <n v="0"/>
    <n v="6"/>
    <n v="5"/>
    <n v="3"/>
    <n v="10"/>
    <n v="60"/>
    <n v="0"/>
    <n v="0"/>
    <n v="0"/>
    <n v="0"/>
    <n v="0"/>
    <n v="5"/>
    <n v="17"/>
    <n v="0"/>
    <n v="125"/>
    <n v="2"/>
    <d v="2023-01-01T00:00:00"/>
    <n v="62.5"/>
    <n v="7.35"/>
    <n v="51"/>
    <n v="0"/>
    <n v="0"/>
    <n v="1"/>
    <n v="0"/>
    <n v="5"/>
    <n v="62.5"/>
  </r>
  <r>
    <x v="0"/>
    <x v="13"/>
    <x v="1"/>
    <n v="2"/>
    <s v="-"/>
    <s v="-"/>
    <s v="-"/>
    <s v="-"/>
    <s v="-"/>
    <s v="-"/>
    <s v="-"/>
    <s v="-"/>
    <s v="-"/>
    <s v="-"/>
    <s v="-"/>
    <s v="-"/>
    <n v="2"/>
    <n v="6"/>
    <n v="0"/>
    <n v="42"/>
    <n v="0"/>
    <s v="-"/>
    <s v="-"/>
    <n v="7"/>
    <s v="-"/>
    <n v="0"/>
    <n v="0"/>
    <n v="0"/>
    <n v="0"/>
    <n v="13"/>
    <e v="#DIV/0!"/>
  </r>
  <r>
    <x v="0"/>
    <x v="14"/>
    <x v="0"/>
    <n v="14"/>
    <n v="2"/>
    <n v="0"/>
    <n v="4"/>
    <n v="3"/>
    <n v="2"/>
    <n v="14"/>
    <n v="28.57"/>
    <n v="0"/>
    <n v="0"/>
    <n v="0"/>
    <n v="0"/>
    <n v="0"/>
    <n v="14"/>
    <n v="46"/>
    <n v="0"/>
    <n v="344"/>
    <n v="13"/>
    <d v="2020-11-04T00:00:00"/>
    <n v="26.46"/>
    <n v="7.47"/>
    <n v="21.2"/>
    <n v="1"/>
    <n v="0"/>
    <n v="3"/>
    <n v="0"/>
    <n v="16"/>
    <n v="26.46153846153846"/>
  </r>
  <r>
    <x v="0"/>
    <x v="14"/>
    <x v="1"/>
    <n v="14"/>
    <n v="6"/>
    <n v="5"/>
    <n v="49"/>
    <s v="13*"/>
    <n v="49"/>
    <n v="52"/>
    <n v="94.23"/>
    <n v="0"/>
    <n v="0"/>
    <n v="0"/>
    <n v="2"/>
    <n v="2"/>
    <n v="14"/>
    <n v="38.5"/>
    <n v="1"/>
    <n v="343"/>
    <n v="10"/>
    <d v="2020-11-03T00:00:00"/>
    <n v="34.299999999999997"/>
    <n v="8.83"/>
    <n v="23.3"/>
    <n v="0"/>
    <n v="0"/>
    <n v="3"/>
    <n v="0"/>
    <n v="17"/>
    <n v="34.299999999999997"/>
  </r>
  <r>
    <x v="0"/>
    <x v="14"/>
    <x v="2"/>
    <n v="10"/>
    <n v="1"/>
    <n v="1"/>
    <n v="1"/>
    <s v="1*"/>
    <s v="-"/>
    <n v="2"/>
    <n v="50"/>
    <n v="0"/>
    <n v="0"/>
    <n v="0"/>
    <n v="0"/>
    <n v="0"/>
    <n v="10"/>
    <n v="37"/>
    <n v="1"/>
    <n v="264"/>
    <n v="12"/>
    <d v="2019-03-01T00:00:00"/>
    <n v="22"/>
    <n v="7.13"/>
    <n v="18.5"/>
    <n v="0"/>
    <n v="0"/>
    <n v="0"/>
    <n v="0"/>
    <n v="16"/>
    <n v="22"/>
  </r>
  <r>
    <x v="0"/>
    <x v="15"/>
    <x v="0"/>
    <n v="4"/>
    <n v="2"/>
    <n v="2"/>
    <n v="9"/>
    <s v="7*"/>
    <s v="-"/>
    <n v="14"/>
    <n v="64.28"/>
    <n v="0"/>
    <n v="0"/>
    <n v="0"/>
    <n v="1"/>
    <n v="0"/>
    <n v="4"/>
    <n v="15"/>
    <n v="0"/>
    <n v="114"/>
    <n v="3"/>
    <d v="2025-02-01T00:00:00"/>
    <n v="38"/>
    <n v="7.6"/>
    <n v="30"/>
    <n v="0"/>
    <n v="0"/>
    <n v="0"/>
    <n v="0"/>
    <n v="8"/>
    <n v="38"/>
  </r>
  <r>
    <x v="0"/>
    <x v="16"/>
    <x v="0"/>
    <n v="8"/>
    <n v="2"/>
    <n v="2"/>
    <n v="2"/>
    <s v="2*"/>
    <s v="-"/>
    <n v="4"/>
    <n v="50"/>
    <n v="0"/>
    <n v="0"/>
    <n v="0"/>
    <n v="0"/>
    <n v="0"/>
    <n v="8"/>
    <n v="25.1"/>
    <n v="0"/>
    <n v="244"/>
    <n v="5"/>
    <d v="1934-02-01T00:00:00"/>
    <n v="48.8"/>
    <n v="9.69"/>
    <n v="30.2"/>
    <n v="0"/>
    <n v="0"/>
    <n v="1"/>
    <n v="0"/>
    <n v="4"/>
    <n v="48.8"/>
  </r>
  <r>
    <x v="0"/>
    <x v="16"/>
    <x v="1"/>
    <n v="8"/>
    <n v="6"/>
    <n v="2"/>
    <n v="36"/>
    <n v="21"/>
    <n v="9"/>
    <n v="24"/>
    <n v="150"/>
    <n v="0"/>
    <n v="0"/>
    <n v="0"/>
    <n v="4"/>
    <n v="2"/>
    <n v="8"/>
    <n v="26"/>
    <n v="0"/>
    <n v="243"/>
    <n v="5"/>
    <d v="1936-02-01T00:00:00"/>
    <n v="48.6"/>
    <n v="9.34"/>
    <n v="31.2"/>
    <n v="0"/>
    <n v="0"/>
    <n v="0"/>
    <n v="0"/>
    <n v="3"/>
    <n v="48.6"/>
  </r>
  <r>
    <x v="0"/>
    <x v="16"/>
    <x v="2"/>
    <n v="4"/>
    <n v="1"/>
    <n v="0"/>
    <n v="7"/>
    <n v="7"/>
    <n v="7"/>
    <n v="6"/>
    <n v="116.66"/>
    <n v="0"/>
    <n v="0"/>
    <n v="0"/>
    <n v="1"/>
    <n v="0"/>
    <n v="4"/>
    <n v="13.5"/>
    <n v="0"/>
    <n v="144"/>
    <n v="3"/>
    <d v="2029-01-01T00:00:00"/>
    <n v="48"/>
    <n v="10.4"/>
    <n v="27.6"/>
    <n v="0"/>
    <n v="0"/>
    <n v="2"/>
    <n v="0"/>
    <n v="17"/>
    <n v="48"/>
  </r>
  <r>
    <x v="0"/>
    <x v="17"/>
    <x v="0"/>
    <n v="4"/>
    <n v="1"/>
    <n v="1"/>
    <n v="1"/>
    <s v="1*"/>
    <s v="-"/>
    <n v="5"/>
    <n v="20"/>
    <n v="0"/>
    <n v="0"/>
    <n v="0"/>
    <n v="0"/>
    <n v="0"/>
    <n v="4"/>
    <n v="15"/>
    <n v="0"/>
    <n v="127"/>
    <n v="2"/>
    <d v="2023-02-01T00:00:00"/>
    <n v="63.5"/>
    <n v="8.4600000000000009"/>
    <n v="45"/>
    <n v="0"/>
    <n v="0"/>
    <n v="0"/>
    <n v="0"/>
    <n v="12"/>
    <n v="63.5"/>
  </r>
  <r>
    <x v="0"/>
    <x v="17"/>
    <x v="1"/>
    <n v="7"/>
    <n v="4"/>
    <n v="1"/>
    <n v="2"/>
    <n v="2"/>
    <n v="0.66"/>
    <n v="9"/>
    <n v="22.22"/>
    <n v="0"/>
    <n v="0"/>
    <n v="2"/>
    <n v="0"/>
    <n v="0"/>
    <n v="7"/>
    <n v="17.5"/>
    <n v="0"/>
    <n v="119"/>
    <n v="6"/>
    <d v="2013-02-01T00:00:00"/>
    <n v="19.829999999999998"/>
    <n v="6.67"/>
    <n v="17.8"/>
    <n v="0"/>
    <n v="0"/>
    <n v="2"/>
    <n v="0"/>
    <n v="14"/>
    <n v="19.833333333333332"/>
  </r>
  <r>
    <x v="0"/>
    <x v="17"/>
    <x v="2"/>
    <n v="6"/>
    <n v="1"/>
    <n v="1"/>
    <n v="6"/>
    <s v="6*"/>
    <s v="-"/>
    <n v="8"/>
    <n v="75"/>
    <n v="0"/>
    <n v="0"/>
    <n v="0"/>
    <n v="0"/>
    <n v="0"/>
    <n v="6"/>
    <n v="15"/>
    <n v="0"/>
    <n v="161"/>
    <n v="3"/>
    <d v="1934-02-01T00:00:00"/>
    <n v="53.66"/>
    <n v="10.73"/>
    <n v="30"/>
    <n v="0"/>
    <n v="0"/>
    <n v="1"/>
    <n v="0"/>
    <n v="7"/>
    <n v="53.666666666666664"/>
  </r>
  <r>
    <x v="0"/>
    <x v="18"/>
    <x v="2"/>
    <n v="12"/>
    <n v="12"/>
    <n v="0"/>
    <n v="169"/>
    <n v="47"/>
    <n v="14.08"/>
    <n v="120"/>
    <n v="140.83000000000001"/>
    <n v="0"/>
    <n v="0"/>
    <n v="0"/>
    <n v="14"/>
    <n v="9"/>
    <n v="10"/>
    <n v="16"/>
    <n v="0"/>
    <n v="132"/>
    <n v="5"/>
    <d v="2022-02-01T00:00:00"/>
    <n v="26.4"/>
    <n v="8.25"/>
    <n v="19.2"/>
    <n v="0"/>
    <n v="0"/>
    <n v="4"/>
    <n v="0"/>
    <n v="4"/>
    <n v="26.4"/>
  </r>
  <r>
    <x v="0"/>
    <x v="19"/>
    <x v="2"/>
    <n v="6"/>
    <n v="5"/>
    <n v="0"/>
    <n v="85"/>
    <n v="55"/>
    <n v="17"/>
    <n v="88"/>
    <n v="96.59"/>
    <n v="0"/>
    <n v="1"/>
    <n v="0"/>
    <n v="8"/>
    <n v="1"/>
    <s v="-"/>
    <s v="-"/>
    <s v="-"/>
    <s v="-"/>
    <s v="-"/>
    <s v="-"/>
    <s v="-"/>
    <s v="-"/>
    <s v="-"/>
    <s v="-"/>
    <s v="-"/>
    <n v="1"/>
    <n v="0"/>
    <n v="17"/>
    <e v="#VALUE!"/>
  </r>
  <r>
    <x v="0"/>
    <x v="20"/>
    <x v="2"/>
    <n v="5"/>
    <n v="5"/>
    <n v="0"/>
    <n v="63"/>
    <n v="33"/>
    <n v="12.6"/>
    <n v="41"/>
    <n v="153.65"/>
    <n v="0"/>
    <n v="0"/>
    <n v="2"/>
    <n v="7"/>
    <n v="4"/>
    <s v="-"/>
    <s v="-"/>
    <s v="-"/>
    <s v="-"/>
    <s v="-"/>
    <s v="-"/>
    <s v="-"/>
    <s v="-"/>
    <s v="-"/>
    <s v="-"/>
    <s v="-"/>
    <n v="2"/>
    <n v="0"/>
    <n v="4"/>
    <e v="#VALUE!"/>
  </r>
  <r>
    <x v="0"/>
    <x v="21"/>
    <x v="2"/>
    <n v="5"/>
    <n v="2"/>
    <n v="1"/>
    <n v="60"/>
    <s v="36*"/>
    <n v="60"/>
    <n v="33"/>
    <n v="181.81"/>
    <n v="0"/>
    <n v="0"/>
    <n v="0"/>
    <n v="1"/>
    <n v="6"/>
    <n v="5"/>
    <n v="17.3"/>
    <n v="0"/>
    <n v="167"/>
    <n v="7"/>
    <d v="2028-03-01T00:00:00"/>
    <n v="23.85"/>
    <n v="9.5399999999999991"/>
    <n v="15"/>
    <n v="0"/>
    <n v="0"/>
    <n v="0"/>
    <n v="0"/>
    <n v="17"/>
    <n v="23.857142857142858"/>
  </r>
  <r>
    <x v="0"/>
    <x v="22"/>
    <x v="2"/>
    <n v="1"/>
    <n v="1"/>
    <n v="0"/>
    <n v="1"/>
    <n v="1"/>
    <n v="1"/>
    <n v="4"/>
    <n v="25"/>
    <n v="0"/>
    <n v="0"/>
    <n v="0"/>
    <n v="0"/>
    <n v="0"/>
    <s v="-"/>
    <s v="-"/>
    <s v="-"/>
    <s v="-"/>
    <s v="-"/>
    <s v="-"/>
    <s v="-"/>
    <s v="-"/>
    <s v="-"/>
    <s v="-"/>
    <s v="-"/>
    <n v="0"/>
    <n v="0"/>
    <n v="5"/>
    <e v="#VALUE!"/>
  </r>
  <r>
    <x v="0"/>
    <x v="23"/>
    <x v="1"/>
    <n v="3"/>
    <n v="3"/>
    <n v="0"/>
    <n v="18"/>
    <n v="18"/>
    <n v="6"/>
    <n v="23"/>
    <n v="78.260000000000005"/>
    <n v="0"/>
    <n v="0"/>
    <n v="2"/>
    <n v="3"/>
    <n v="0"/>
    <s v="-"/>
    <s v="-"/>
    <s v="-"/>
    <s v="-"/>
    <s v="-"/>
    <s v="-"/>
    <s v="-"/>
    <s v="-"/>
    <s v="-"/>
    <s v="-"/>
    <s v="-"/>
    <n v="0"/>
    <n v="0"/>
    <n v="14"/>
    <e v="#VALUE!"/>
  </r>
  <r>
    <x v="0"/>
    <x v="24"/>
    <x v="2"/>
    <n v="14"/>
    <n v="1"/>
    <n v="0"/>
    <n v="0"/>
    <n v="0"/>
    <n v="0"/>
    <n v="2"/>
    <n v="0"/>
    <n v="0"/>
    <n v="0"/>
    <n v="1"/>
    <n v="0"/>
    <n v="0"/>
    <n v="14"/>
    <n v="52.4"/>
    <n v="1"/>
    <n v="466"/>
    <n v="18"/>
    <d v="2020-02-01T00:00:00"/>
    <n v="25.88"/>
    <n v="8.84"/>
    <n v="17.5"/>
    <n v="0"/>
    <n v="0"/>
    <n v="9"/>
    <n v="0"/>
    <n v="10"/>
    <n v="25.888888888888889"/>
  </r>
  <r>
    <x v="0"/>
    <x v="25"/>
    <x v="1"/>
    <n v="11"/>
    <n v="11"/>
    <n v="4"/>
    <n v="142"/>
    <s v="41*"/>
    <n v="20.28"/>
    <n v="123"/>
    <n v="115.44"/>
    <n v="0"/>
    <n v="0"/>
    <n v="1"/>
    <n v="8"/>
    <n v="9"/>
    <n v="8"/>
    <n v="18.5"/>
    <n v="0"/>
    <n v="186"/>
    <n v="3"/>
    <d v="2023-01-01T00:00:00"/>
    <n v="62"/>
    <n v="9.8699999999999992"/>
    <n v="37.6"/>
    <n v="0"/>
    <n v="0"/>
    <n v="5"/>
    <n v="0"/>
    <n v="10"/>
    <n v="62"/>
  </r>
  <r>
    <x v="0"/>
    <x v="26"/>
    <x v="1"/>
    <n v="6"/>
    <n v="3"/>
    <n v="0"/>
    <n v="55"/>
    <n v="44"/>
    <n v="18.329999999999998"/>
    <n v="64"/>
    <n v="85.93"/>
    <n v="0"/>
    <n v="0"/>
    <n v="1"/>
    <n v="5"/>
    <n v="1"/>
    <n v="6"/>
    <n v="21.2"/>
    <n v="0"/>
    <n v="188"/>
    <n v="6"/>
    <d v="2020-02-01T00:00:00"/>
    <n v="31.33"/>
    <n v="8.81"/>
    <n v="21.3"/>
    <n v="0"/>
    <n v="0"/>
    <n v="0"/>
    <n v="0"/>
    <n v="14"/>
    <n v="31.333333333333332"/>
  </r>
  <r>
    <x v="0"/>
    <x v="27"/>
    <x v="1"/>
    <n v="3"/>
    <n v="2"/>
    <n v="0"/>
    <n v="32"/>
    <n v="31"/>
    <n v="16"/>
    <n v="27"/>
    <n v="118.51"/>
    <n v="0"/>
    <n v="0"/>
    <n v="0"/>
    <n v="2"/>
    <n v="1"/>
    <n v="2"/>
    <n v="5"/>
    <n v="0"/>
    <n v="56"/>
    <n v="0"/>
    <s v="-"/>
    <s v="-"/>
    <n v="11.2"/>
    <s v="-"/>
    <n v="0"/>
    <n v="0"/>
    <n v="2"/>
    <n v="0"/>
    <n v="16"/>
    <e v="#DIV/0!"/>
  </r>
  <r>
    <x v="0"/>
    <x v="28"/>
    <x v="1"/>
    <n v="12"/>
    <n v="9"/>
    <n v="4"/>
    <n v="77"/>
    <n v="24"/>
    <n v="15.4"/>
    <n v="53"/>
    <n v="145.28"/>
    <n v="0"/>
    <n v="0"/>
    <n v="0"/>
    <n v="5"/>
    <n v="4"/>
    <n v="12"/>
    <n v="46.1"/>
    <n v="0"/>
    <n v="373"/>
    <n v="15"/>
    <d v="2020-02-01T00:00:00"/>
    <n v="24.86"/>
    <n v="8.07"/>
    <n v="18.399999999999999"/>
    <n v="0"/>
    <n v="0"/>
    <n v="1"/>
    <n v="0"/>
    <n v="14"/>
    <n v="24.866666666666667"/>
  </r>
  <r>
    <x v="0"/>
    <x v="29"/>
    <x v="1"/>
    <n v="5"/>
    <n v="4"/>
    <n v="0"/>
    <n v="29"/>
    <n v="27"/>
    <n v="7.25"/>
    <n v="31"/>
    <n v="93.54"/>
    <n v="0"/>
    <n v="0"/>
    <n v="1"/>
    <n v="1"/>
    <n v="2"/>
    <n v="2"/>
    <n v="3"/>
    <n v="0"/>
    <n v="34"/>
    <n v="0"/>
    <s v="-"/>
    <s v="-"/>
    <n v="11.33"/>
    <s v="-"/>
    <n v="0"/>
    <n v="0"/>
    <n v="1"/>
    <n v="0"/>
    <n v="4"/>
    <e v="#DIV/0!"/>
  </r>
  <r>
    <x v="0"/>
    <x v="30"/>
    <x v="1"/>
    <n v="1"/>
    <n v="1"/>
    <n v="1"/>
    <n v="12"/>
    <s v="12*"/>
    <s v="-"/>
    <n v="12"/>
    <n v="100"/>
    <n v="0"/>
    <n v="0"/>
    <n v="0"/>
    <n v="1"/>
    <n v="0"/>
    <s v="-"/>
    <s v="-"/>
    <s v="-"/>
    <s v="-"/>
    <s v="-"/>
    <s v="-"/>
    <s v="-"/>
    <s v="-"/>
    <s v="-"/>
    <s v="-"/>
    <s v="-"/>
    <n v="0"/>
    <n v="0"/>
    <n v="5"/>
    <e v="#VALUE!"/>
  </r>
  <r>
    <x v="0"/>
    <x v="31"/>
    <x v="2"/>
    <n v="8"/>
    <n v="5"/>
    <n v="2"/>
    <n v="50"/>
    <n v="24"/>
    <n v="16.66"/>
    <n v="43"/>
    <n v="116.27"/>
    <n v="0"/>
    <n v="0"/>
    <n v="0"/>
    <n v="5"/>
    <n v="1"/>
    <n v="8"/>
    <n v="22"/>
    <n v="0"/>
    <n v="173"/>
    <n v="6"/>
    <d v="2018-03-01T00:00:00"/>
    <n v="28.83"/>
    <n v="7.86"/>
    <n v="22"/>
    <n v="0"/>
    <n v="0"/>
    <n v="2"/>
    <n v="0"/>
    <n v="12"/>
    <n v="28.833333333333332"/>
  </r>
  <r>
    <x v="0"/>
    <x v="32"/>
    <x v="2"/>
    <n v="6"/>
    <s v="-"/>
    <s v="-"/>
    <s v="-"/>
    <s v="-"/>
    <s v="-"/>
    <s v="-"/>
    <s v="-"/>
    <s v="-"/>
    <s v="-"/>
    <s v="-"/>
    <s v="-"/>
    <s v="-"/>
    <n v="6"/>
    <n v="19"/>
    <n v="0"/>
    <n v="204"/>
    <n v="4"/>
    <d v="2029-02-01T00:00:00"/>
    <n v="51"/>
    <n v="10.73"/>
    <n v="28.5"/>
    <n v="0"/>
    <n v="0"/>
    <n v="3"/>
    <n v="0"/>
    <n v="3"/>
    <n v="51"/>
  </r>
  <r>
    <x v="0"/>
    <x v="33"/>
    <x v="2"/>
    <n v="13"/>
    <n v="11"/>
    <n v="7"/>
    <n v="212"/>
    <s v="54*"/>
    <n v="53"/>
    <n v="148"/>
    <n v="143.24"/>
    <n v="0"/>
    <n v="1"/>
    <n v="0"/>
    <n v="11"/>
    <n v="11"/>
    <n v="4"/>
    <n v="5"/>
    <n v="0"/>
    <n v="58"/>
    <n v="1"/>
    <d v="2022-01-01T00:00:00"/>
    <n v="58"/>
    <n v="11.6"/>
    <n v="30"/>
    <n v="0"/>
    <n v="0"/>
    <n v="6"/>
    <n v="0"/>
    <n v="18"/>
    <n v="58"/>
  </r>
  <r>
    <x v="0"/>
    <x v="34"/>
    <x v="2"/>
    <n v="5"/>
    <n v="5"/>
    <n v="1"/>
    <n v="120"/>
    <s v="91*"/>
    <n v="30"/>
    <n v="94"/>
    <n v="127.65"/>
    <n v="0"/>
    <n v="1"/>
    <n v="0"/>
    <n v="9"/>
    <n v="7"/>
    <s v="-"/>
    <s v="-"/>
    <s v="-"/>
    <s v="-"/>
    <s v="-"/>
    <s v="-"/>
    <s v="-"/>
    <s v="-"/>
    <s v="-"/>
    <s v="-"/>
    <s v="-"/>
    <n v="4"/>
    <n v="0"/>
    <n v="13"/>
    <e v="#VALUE!"/>
  </r>
  <r>
    <x v="0"/>
    <x v="35"/>
    <x v="2"/>
    <n v="4"/>
    <n v="3"/>
    <n v="1"/>
    <n v="26"/>
    <n v="13"/>
    <n v="13"/>
    <n v="33"/>
    <n v="78.78"/>
    <n v="0"/>
    <n v="0"/>
    <n v="0"/>
    <n v="0"/>
    <n v="1"/>
    <n v="4"/>
    <n v="11.5"/>
    <n v="0"/>
    <n v="101"/>
    <n v="4"/>
    <d v="1935-02-01T00:00:00"/>
    <n v="25.25"/>
    <n v="8.5299999999999994"/>
    <n v="17.7"/>
    <n v="0"/>
    <n v="0"/>
    <n v="0"/>
    <n v="0"/>
    <n v="5"/>
    <n v="25.25"/>
  </r>
  <r>
    <x v="0"/>
    <x v="36"/>
    <x v="2"/>
    <n v="3"/>
    <n v="3"/>
    <n v="2"/>
    <n v="63"/>
    <s v="46*"/>
    <n v="63"/>
    <n v="33"/>
    <n v="190.9"/>
    <n v="0"/>
    <n v="0"/>
    <n v="0"/>
    <n v="3"/>
    <n v="5"/>
    <s v="-"/>
    <s v="-"/>
    <s v="-"/>
    <s v="-"/>
    <s v="-"/>
    <s v="-"/>
    <s v="-"/>
    <s v="-"/>
    <s v="-"/>
    <s v="-"/>
    <s v="-"/>
    <n v="1"/>
    <n v="0"/>
    <n v="8"/>
    <e v="#VALUE!"/>
  </r>
  <r>
    <x v="0"/>
    <x v="37"/>
    <x v="2"/>
    <n v="9"/>
    <n v="9"/>
    <n v="0"/>
    <n v="245"/>
    <n v="65"/>
    <n v="27.22"/>
    <n v="160"/>
    <n v="153.12"/>
    <n v="0"/>
    <n v="2"/>
    <n v="0"/>
    <n v="27"/>
    <n v="10"/>
    <s v="-"/>
    <s v="-"/>
    <s v="-"/>
    <s v="-"/>
    <s v="-"/>
    <s v="-"/>
    <s v="-"/>
    <s v="-"/>
    <s v="-"/>
    <s v="-"/>
    <s v="-"/>
    <n v="4"/>
    <n v="0"/>
    <n v="9"/>
    <e v="#VALUE!"/>
  </r>
  <r>
    <x v="0"/>
    <x v="38"/>
    <x v="2"/>
    <n v="7"/>
    <n v="2"/>
    <n v="1"/>
    <n v="1"/>
    <s v="1*"/>
    <n v="1"/>
    <n v="3"/>
    <n v="33.33"/>
    <n v="0"/>
    <n v="0"/>
    <n v="1"/>
    <n v="0"/>
    <n v="0"/>
    <n v="7"/>
    <n v="25"/>
    <n v="0"/>
    <n v="225"/>
    <n v="4"/>
    <d v="2017-03-01T00:00:00"/>
    <n v="56.25"/>
    <n v="9"/>
    <n v="37.5"/>
    <n v="0"/>
    <n v="0"/>
    <n v="2"/>
    <n v="0"/>
    <n v="4"/>
    <n v="56.25"/>
  </r>
  <r>
    <x v="0"/>
    <x v="39"/>
    <x v="2"/>
    <n v="1"/>
    <s v="-"/>
    <s v="-"/>
    <s v="-"/>
    <s v="-"/>
    <s v="-"/>
    <s v="-"/>
    <s v="-"/>
    <s v="-"/>
    <s v="-"/>
    <s v="-"/>
    <s v="-"/>
    <s v="-"/>
    <n v="1"/>
    <n v="3"/>
    <n v="0"/>
    <n v="34"/>
    <n v="0"/>
    <s v="-"/>
    <s v="-"/>
    <n v="11.33"/>
    <s v="-"/>
    <n v="0"/>
    <n v="0"/>
    <n v="0"/>
    <n v="0"/>
    <n v="6"/>
    <e v="#DIV/0!"/>
  </r>
  <r>
    <x v="0"/>
    <x v="40"/>
    <x v="2"/>
    <n v="3"/>
    <s v="-"/>
    <s v="-"/>
    <s v="-"/>
    <s v="-"/>
    <s v="-"/>
    <s v="-"/>
    <s v="-"/>
    <s v="-"/>
    <s v="-"/>
    <s v="-"/>
    <s v="-"/>
    <s v="-"/>
    <n v="3"/>
    <n v="12"/>
    <n v="0"/>
    <n v="82"/>
    <n v="5"/>
    <d v="1936-03-01T00:00:00"/>
    <n v="16.399999999999999"/>
    <n v="6.83"/>
    <n v="14.4"/>
    <n v="0"/>
    <n v="0"/>
    <n v="0"/>
    <n v="0"/>
    <n v="12"/>
    <n v="16.399999999999999"/>
  </r>
  <r>
    <x v="1"/>
    <x v="3"/>
    <x v="2"/>
    <n v="13"/>
    <n v="12"/>
    <n v="0"/>
    <n v="301"/>
    <n v="54"/>
    <n v="25.08"/>
    <n v="221"/>
    <n v="136.19"/>
    <n v="0"/>
    <n v="2"/>
    <n v="0"/>
    <n v="23"/>
    <n v="13"/>
    <s v="-"/>
    <s v="-"/>
    <s v="-"/>
    <s v="-"/>
    <s v="-"/>
    <s v="-"/>
    <s v="-"/>
    <s v="-"/>
    <s v="-"/>
    <s v="-"/>
    <s v="-"/>
    <n v="9"/>
    <n v="0"/>
    <n v="4"/>
    <e v="#VALUE!"/>
  </r>
  <r>
    <x v="1"/>
    <x v="3"/>
    <x v="3"/>
    <n v="1"/>
    <n v="1"/>
    <n v="0"/>
    <n v="5"/>
    <n v="5"/>
    <n v="5"/>
    <n v="6"/>
    <n v="83.33"/>
    <n v="0"/>
    <n v="0"/>
    <n v="0"/>
    <n v="0"/>
    <n v="0"/>
    <s v="-"/>
    <s v="-"/>
    <s v="-"/>
    <s v="-"/>
    <s v="-"/>
    <s v="-"/>
    <s v="-"/>
    <s v="-"/>
    <s v="-"/>
    <s v="-"/>
    <s v="-"/>
    <n v="0"/>
    <n v="0"/>
    <n v="18"/>
    <e v="#VALUE!"/>
  </r>
  <r>
    <x v="1"/>
    <x v="9"/>
    <x v="2"/>
    <n v="11"/>
    <n v="11"/>
    <n v="1"/>
    <n v="120"/>
    <n v="30"/>
    <n v="12"/>
    <n v="94"/>
    <n v="127.65"/>
    <n v="0"/>
    <n v="0"/>
    <n v="1"/>
    <n v="9"/>
    <n v="5"/>
    <s v="-"/>
    <s v="-"/>
    <s v="-"/>
    <s v="-"/>
    <s v="-"/>
    <s v="-"/>
    <s v="-"/>
    <s v="-"/>
    <s v="-"/>
    <s v="-"/>
    <s v="-"/>
    <n v="2"/>
    <n v="0"/>
    <n v="14"/>
    <e v="#VALUE!"/>
  </r>
  <r>
    <x v="1"/>
    <x v="9"/>
    <x v="3"/>
    <n v="13"/>
    <n v="13"/>
    <n v="0"/>
    <n v="332"/>
    <n v="58"/>
    <n v="25.53"/>
    <n v="234"/>
    <n v="141.88"/>
    <n v="0"/>
    <n v="2"/>
    <n v="1"/>
    <n v="26"/>
    <n v="14"/>
    <s v="-"/>
    <s v="-"/>
    <s v="-"/>
    <s v="-"/>
    <s v="-"/>
    <s v="-"/>
    <s v="-"/>
    <s v="-"/>
    <s v="-"/>
    <s v="-"/>
    <s v="-"/>
    <n v="7"/>
    <n v="0"/>
    <n v="18"/>
    <e v="#VALUE!"/>
  </r>
  <r>
    <x v="1"/>
    <x v="16"/>
    <x v="3"/>
    <n v="14"/>
    <n v="2"/>
    <n v="1"/>
    <n v="1"/>
    <s v="1*"/>
    <n v="1"/>
    <n v="2"/>
    <n v="50"/>
    <n v="0"/>
    <n v="0"/>
    <n v="1"/>
    <n v="0"/>
    <n v="0"/>
    <n v="14"/>
    <n v="54"/>
    <n v="0"/>
    <n v="469"/>
    <n v="19"/>
    <d v="2021-03-01T00:00:00"/>
    <n v="24.68"/>
    <n v="8.68"/>
    <n v="17"/>
    <n v="0"/>
    <n v="0"/>
    <n v="5"/>
    <n v="0"/>
    <n v="12"/>
    <n v="24.684210526315791"/>
  </r>
  <r>
    <x v="1"/>
    <x v="41"/>
    <x v="0"/>
    <n v="7"/>
    <n v="5"/>
    <n v="1"/>
    <n v="146"/>
    <n v="52"/>
    <n v="36.5"/>
    <n v="108"/>
    <n v="135.18"/>
    <n v="0"/>
    <n v="1"/>
    <n v="1"/>
    <n v="13"/>
    <n v="4"/>
    <n v="7"/>
    <n v="23"/>
    <n v="0"/>
    <n v="194"/>
    <n v="8"/>
    <d v="2015-04-01T00:00:00"/>
    <n v="24.25"/>
    <n v="8.43"/>
    <n v="17.2"/>
    <n v="1"/>
    <n v="0"/>
    <n v="0"/>
    <n v="0"/>
    <n v="7"/>
    <n v="24.25"/>
  </r>
  <r>
    <x v="1"/>
    <x v="41"/>
    <x v="1"/>
    <n v="5"/>
    <n v="3"/>
    <n v="0"/>
    <n v="17"/>
    <n v="9"/>
    <n v="5.66"/>
    <n v="24"/>
    <n v="70.83"/>
    <n v="0"/>
    <n v="0"/>
    <n v="0"/>
    <n v="1"/>
    <n v="0"/>
    <n v="5"/>
    <n v="10.3"/>
    <n v="0"/>
    <n v="110"/>
    <n v="2"/>
    <d v="2028-01-01T00:00:00"/>
    <n v="55"/>
    <n v="10.47"/>
    <n v="31.5"/>
    <n v="0"/>
    <n v="0"/>
    <n v="3"/>
    <n v="0"/>
    <n v="11"/>
    <n v="55"/>
  </r>
  <r>
    <x v="1"/>
    <x v="41"/>
    <x v="2"/>
    <n v="7"/>
    <n v="7"/>
    <n v="3"/>
    <n v="99"/>
    <s v="29*"/>
    <n v="24.75"/>
    <n v="76"/>
    <n v="130.26"/>
    <n v="0"/>
    <n v="0"/>
    <n v="0"/>
    <n v="6"/>
    <n v="4"/>
    <n v="6"/>
    <n v="11"/>
    <n v="0"/>
    <n v="120"/>
    <n v="3"/>
    <d v="2015-01-01T00:00:00"/>
    <n v="40"/>
    <n v="10.9"/>
    <n v="22"/>
    <n v="0"/>
    <n v="0"/>
    <n v="2"/>
    <n v="0"/>
    <n v="12"/>
    <n v="40"/>
  </r>
  <r>
    <x v="1"/>
    <x v="42"/>
    <x v="0"/>
    <n v="14"/>
    <n v="14"/>
    <n v="1"/>
    <n v="453"/>
    <n v="89"/>
    <n v="34.840000000000003"/>
    <n v="364"/>
    <n v="124.45"/>
    <n v="0"/>
    <n v="5"/>
    <n v="0"/>
    <n v="50"/>
    <n v="10"/>
    <n v="1"/>
    <n v="1"/>
    <n v="0"/>
    <n v="8"/>
    <n v="0"/>
    <s v="-"/>
    <s v="-"/>
    <n v="8"/>
    <s v="-"/>
    <n v="0"/>
    <n v="0"/>
    <n v="2"/>
    <n v="0"/>
    <n v="9"/>
    <e v="#DIV/0!"/>
  </r>
  <r>
    <x v="1"/>
    <x v="43"/>
    <x v="0"/>
    <n v="6"/>
    <n v="6"/>
    <n v="1"/>
    <n v="159"/>
    <s v="56*"/>
    <n v="31.8"/>
    <n v="134"/>
    <n v="118.65"/>
    <n v="0"/>
    <n v="1"/>
    <n v="0"/>
    <n v="13"/>
    <n v="4"/>
    <s v="-"/>
    <s v="-"/>
    <s v="-"/>
    <s v="-"/>
    <s v="-"/>
    <s v="-"/>
    <s v="-"/>
    <s v="-"/>
    <s v="-"/>
    <s v="-"/>
    <s v="-"/>
    <n v="1"/>
    <n v="0"/>
    <n v="3"/>
    <e v="#VALUE!"/>
  </r>
  <r>
    <x v="1"/>
    <x v="43"/>
    <x v="1"/>
    <n v="9"/>
    <n v="8"/>
    <n v="0"/>
    <n v="264"/>
    <n v="84"/>
    <n v="33"/>
    <n v="194"/>
    <n v="136.08000000000001"/>
    <n v="0"/>
    <n v="2"/>
    <n v="0"/>
    <n v="36"/>
    <n v="5"/>
    <s v="-"/>
    <s v="-"/>
    <s v="-"/>
    <s v="-"/>
    <s v="-"/>
    <s v="-"/>
    <s v="-"/>
    <s v="-"/>
    <s v="-"/>
    <s v="-"/>
    <s v="-"/>
    <n v="2"/>
    <n v="0"/>
    <n v="3"/>
    <e v="#VALUE!"/>
  </r>
  <r>
    <x v="1"/>
    <x v="44"/>
    <x v="0"/>
    <n v="6"/>
    <n v="6"/>
    <n v="0"/>
    <n v="157"/>
    <n v="96"/>
    <n v="26.16"/>
    <n v="119"/>
    <n v="131.93"/>
    <n v="0"/>
    <n v="1"/>
    <n v="1"/>
    <n v="20"/>
    <n v="4"/>
    <s v="-"/>
    <s v="-"/>
    <s v="-"/>
    <s v="-"/>
    <s v="-"/>
    <s v="-"/>
    <s v="-"/>
    <s v="-"/>
    <s v="-"/>
    <s v="-"/>
    <s v="-"/>
    <n v="0"/>
    <n v="0"/>
    <n v="15"/>
    <e v="#VALUE!"/>
  </r>
  <r>
    <x v="1"/>
    <x v="44"/>
    <x v="1"/>
    <n v="10"/>
    <n v="10"/>
    <n v="3"/>
    <n v="420"/>
    <s v="104*"/>
    <n v="60"/>
    <n v="288"/>
    <n v="145.83000000000001"/>
    <n v="2"/>
    <n v="2"/>
    <n v="1"/>
    <n v="40"/>
    <n v="17"/>
    <s v="-"/>
    <s v="-"/>
    <s v="-"/>
    <s v="-"/>
    <s v="-"/>
    <s v="-"/>
    <s v="-"/>
    <s v="-"/>
    <s v="-"/>
    <s v="-"/>
    <s v="-"/>
    <n v="0"/>
    <n v="0"/>
    <n v="9"/>
    <e v="#VALUE!"/>
  </r>
  <r>
    <x v="1"/>
    <x v="45"/>
    <x v="0"/>
    <n v="12"/>
    <n v="12"/>
    <n v="1"/>
    <n v="270"/>
    <n v="56"/>
    <n v="24.54"/>
    <n v="212"/>
    <n v="127.35"/>
    <n v="0"/>
    <n v="2"/>
    <n v="0"/>
    <n v="29"/>
    <n v="1"/>
    <s v="-"/>
    <s v="-"/>
    <s v="-"/>
    <s v="-"/>
    <s v="-"/>
    <s v="-"/>
    <s v="-"/>
    <s v="-"/>
    <s v="-"/>
    <s v="-"/>
    <s v="-"/>
    <n v="7"/>
    <n v="3"/>
    <n v="3"/>
    <e v="#VALUE!"/>
  </r>
  <r>
    <x v="1"/>
    <x v="45"/>
    <x v="1"/>
    <n v="14"/>
    <n v="11"/>
    <n v="1"/>
    <n v="234"/>
    <s v="93*"/>
    <n v="23.4"/>
    <n v="187"/>
    <n v="125.13"/>
    <n v="0"/>
    <n v="1"/>
    <n v="1"/>
    <n v="20"/>
    <n v="8"/>
    <s v="-"/>
    <s v="-"/>
    <s v="-"/>
    <s v="-"/>
    <s v="-"/>
    <s v="-"/>
    <s v="-"/>
    <s v="-"/>
    <s v="-"/>
    <s v="-"/>
    <s v="-"/>
    <n v="10"/>
    <n v="2"/>
    <n v="10"/>
    <e v="#VALUE!"/>
  </r>
  <r>
    <x v="1"/>
    <x v="46"/>
    <x v="0"/>
    <n v="7"/>
    <n v="7"/>
    <n v="0"/>
    <n v="161"/>
    <n v="51"/>
    <n v="23"/>
    <n v="131"/>
    <n v="122.9"/>
    <n v="0"/>
    <n v="1"/>
    <n v="1"/>
    <n v="19"/>
    <n v="3"/>
    <s v="-"/>
    <s v="-"/>
    <s v="-"/>
    <s v="-"/>
    <s v="-"/>
    <s v="-"/>
    <s v="-"/>
    <s v="-"/>
    <s v="-"/>
    <s v="-"/>
    <s v="-"/>
    <n v="3"/>
    <n v="0"/>
    <n v="10"/>
    <e v="#VALUE!"/>
  </r>
  <r>
    <x v="1"/>
    <x v="46"/>
    <x v="1"/>
    <n v="11"/>
    <n v="9"/>
    <n v="0"/>
    <n v="229"/>
    <n v="95"/>
    <n v="25.44"/>
    <n v="159"/>
    <n v="144.02000000000001"/>
    <n v="0"/>
    <n v="1"/>
    <n v="0"/>
    <n v="23"/>
    <n v="9"/>
    <s v="-"/>
    <s v="-"/>
    <s v="-"/>
    <s v="-"/>
    <s v="-"/>
    <s v="-"/>
    <s v="-"/>
    <s v="-"/>
    <s v="-"/>
    <s v="-"/>
    <s v="-"/>
    <n v="2"/>
    <n v="0"/>
    <n v="16"/>
    <e v="#VALUE!"/>
  </r>
  <r>
    <x v="1"/>
    <x v="47"/>
    <x v="0"/>
    <n v="7"/>
    <n v="6"/>
    <n v="1"/>
    <n v="113"/>
    <n v="51"/>
    <n v="22.6"/>
    <n v="86"/>
    <n v="131.38999999999999"/>
    <n v="0"/>
    <n v="1"/>
    <n v="1"/>
    <n v="11"/>
    <n v="3"/>
    <n v="3"/>
    <n v="4"/>
    <n v="0"/>
    <n v="31"/>
    <n v="2"/>
    <d v="2015-02-01T00:00:00"/>
    <n v="15.5"/>
    <n v="7.75"/>
    <n v="12"/>
    <n v="0"/>
    <n v="0"/>
    <n v="5"/>
    <n v="0"/>
    <n v="13"/>
    <n v="15.5"/>
  </r>
  <r>
    <x v="1"/>
    <x v="47"/>
    <x v="1"/>
    <n v="2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n v="1"/>
    <n v="0"/>
    <n v="15"/>
    <e v="#VALUE!"/>
  </r>
  <r>
    <x v="1"/>
    <x v="18"/>
    <x v="0"/>
    <n v="11"/>
    <n v="11"/>
    <n v="2"/>
    <n v="179"/>
    <n v="68"/>
    <n v="19.88"/>
    <n v="124"/>
    <n v="144.35"/>
    <n v="0"/>
    <n v="2"/>
    <n v="3"/>
    <n v="14"/>
    <n v="8"/>
    <n v="7"/>
    <n v="9"/>
    <n v="0"/>
    <n v="80"/>
    <n v="0"/>
    <s v="-"/>
    <s v="-"/>
    <n v="8.8800000000000008"/>
    <s v="-"/>
    <n v="0"/>
    <n v="0"/>
    <n v="3"/>
    <n v="0"/>
    <n v="9"/>
    <e v="#DIV/0!"/>
  </r>
  <r>
    <x v="1"/>
    <x v="18"/>
    <x v="1"/>
    <n v="14"/>
    <n v="13"/>
    <n v="3"/>
    <n v="310"/>
    <n v="47"/>
    <n v="31"/>
    <n v="179"/>
    <n v="173.18"/>
    <n v="0"/>
    <n v="0"/>
    <n v="3"/>
    <n v="19"/>
    <n v="26"/>
    <n v="8"/>
    <n v="19"/>
    <n v="0"/>
    <n v="125"/>
    <n v="7"/>
    <d v="2015-02-01T00:00:00"/>
    <n v="17.850000000000001"/>
    <n v="6.57"/>
    <n v="16.2"/>
    <n v="0"/>
    <n v="0"/>
    <n v="7"/>
    <n v="0"/>
    <n v="5"/>
    <n v="17.857142857142858"/>
  </r>
  <r>
    <x v="1"/>
    <x v="48"/>
    <x v="0"/>
    <n v="5"/>
    <n v="2"/>
    <n v="1"/>
    <n v="19"/>
    <s v="18*"/>
    <n v="19"/>
    <n v="13"/>
    <n v="146.15"/>
    <n v="0"/>
    <n v="0"/>
    <n v="0"/>
    <n v="1"/>
    <n v="1"/>
    <n v="5"/>
    <n v="17.3"/>
    <n v="0"/>
    <n v="146"/>
    <n v="3"/>
    <d v="2018-02-01T00:00:00"/>
    <n v="48.66"/>
    <n v="8.34"/>
    <n v="35"/>
    <n v="0"/>
    <n v="0"/>
    <n v="0"/>
    <n v="0"/>
    <n v="7"/>
    <n v="48.666666666666664"/>
  </r>
  <r>
    <x v="1"/>
    <x v="49"/>
    <x v="0"/>
    <n v="14"/>
    <n v="13"/>
    <n v="3"/>
    <n v="161"/>
    <n v="31"/>
    <n v="16.100000000000001"/>
    <n v="131"/>
    <n v="122.9"/>
    <n v="0"/>
    <n v="0"/>
    <n v="1"/>
    <n v="11"/>
    <n v="4"/>
    <s v="-"/>
    <s v="-"/>
    <s v="-"/>
    <s v="-"/>
    <s v="-"/>
    <s v="-"/>
    <s v="-"/>
    <s v="-"/>
    <s v="-"/>
    <s v="-"/>
    <s v="-"/>
    <n v="10"/>
    <n v="0"/>
    <n v="10"/>
    <e v="#VALUE!"/>
  </r>
  <r>
    <x v="1"/>
    <x v="49"/>
    <x v="1"/>
    <n v="5"/>
    <n v="4"/>
    <n v="1"/>
    <n v="83"/>
    <s v="30*"/>
    <n v="27.66"/>
    <n v="80"/>
    <n v="103.75"/>
    <n v="0"/>
    <n v="0"/>
    <n v="0"/>
    <n v="4"/>
    <n v="4"/>
    <s v="-"/>
    <s v="-"/>
    <s v="-"/>
    <s v="-"/>
    <s v="-"/>
    <s v="-"/>
    <s v="-"/>
    <s v="-"/>
    <s v="-"/>
    <s v="-"/>
    <s v="-"/>
    <n v="2"/>
    <n v="0"/>
    <n v="8"/>
    <e v="#VALUE!"/>
  </r>
  <r>
    <x v="1"/>
    <x v="49"/>
    <x v="2"/>
    <n v="3"/>
    <n v="3"/>
    <n v="1"/>
    <n v="74"/>
    <n v="26"/>
    <n v="37"/>
    <n v="64"/>
    <n v="115.62"/>
    <n v="0"/>
    <n v="0"/>
    <n v="0"/>
    <n v="3"/>
    <n v="2"/>
    <s v="-"/>
    <s v="-"/>
    <s v="-"/>
    <s v="-"/>
    <s v="-"/>
    <s v="-"/>
    <s v="-"/>
    <s v="-"/>
    <s v="-"/>
    <s v="-"/>
    <s v="-"/>
    <n v="0"/>
    <n v="0"/>
    <n v="8"/>
    <e v="#VALUE!"/>
  </r>
  <r>
    <x v="1"/>
    <x v="49"/>
    <x v="3"/>
    <n v="10"/>
    <n v="10"/>
    <n v="2"/>
    <n v="213"/>
    <s v="59*"/>
    <n v="26.62"/>
    <n v="164"/>
    <n v="129.87"/>
    <n v="0"/>
    <n v="1"/>
    <n v="0"/>
    <n v="19"/>
    <n v="7"/>
    <s v="-"/>
    <s v="-"/>
    <s v="-"/>
    <s v="-"/>
    <s v="-"/>
    <s v="-"/>
    <s v="-"/>
    <s v="-"/>
    <s v="-"/>
    <s v="-"/>
    <s v="-"/>
    <n v="7"/>
    <n v="0"/>
    <n v="7"/>
    <e v="#VALUE!"/>
  </r>
  <r>
    <x v="1"/>
    <x v="50"/>
    <x v="0"/>
    <n v="14"/>
    <n v="10"/>
    <n v="3"/>
    <n v="111"/>
    <s v="36*"/>
    <n v="15.85"/>
    <n v="77"/>
    <n v="144.15"/>
    <n v="0"/>
    <n v="0"/>
    <n v="2"/>
    <n v="4"/>
    <n v="8"/>
    <n v="14"/>
    <n v="47.5"/>
    <n v="0"/>
    <n v="388"/>
    <n v="13"/>
    <d v="2021-04-01T00:00:00"/>
    <n v="29.84"/>
    <n v="8.11"/>
    <n v="22"/>
    <n v="1"/>
    <n v="0"/>
    <n v="2"/>
    <n v="0"/>
    <n v="15"/>
    <n v="29.846153846153847"/>
  </r>
  <r>
    <x v="1"/>
    <x v="50"/>
    <x v="1"/>
    <n v="14"/>
    <n v="13"/>
    <n v="5"/>
    <n v="227"/>
    <n v="44"/>
    <n v="28.37"/>
    <n v="162"/>
    <n v="140.12"/>
    <n v="0"/>
    <n v="0"/>
    <n v="1"/>
    <n v="11"/>
    <n v="11"/>
    <n v="14"/>
    <n v="48"/>
    <n v="0"/>
    <n v="362"/>
    <n v="15"/>
    <d v="2020-11-03T00:00:00"/>
    <n v="24.13"/>
    <n v="7.54"/>
    <n v="19.2"/>
    <n v="0"/>
    <n v="0"/>
    <n v="7"/>
    <n v="0"/>
    <n v="15"/>
    <n v="24.133333333333333"/>
  </r>
  <r>
    <x v="1"/>
    <x v="50"/>
    <x v="2"/>
    <n v="9"/>
    <n v="8"/>
    <n v="2"/>
    <n v="80"/>
    <n v="19"/>
    <n v="13.33"/>
    <n v="69"/>
    <n v="115.94"/>
    <n v="0"/>
    <n v="0"/>
    <n v="0"/>
    <n v="3"/>
    <n v="4"/>
    <n v="8"/>
    <n v="26"/>
    <n v="0"/>
    <n v="218"/>
    <n v="3"/>
    <d v="2021-01-01T00:00:00"/>
    <n v="72.66"/>
    <n v="8.3800000000000008"/>
    <n v="52"/>
    <n v="0"/>
    <n v="0"/>
    <n v="2"/>
    <n v="0"/>
    <n v="6"/>
    <n v="72.666666666666671"/>
  </r>
  <r>
    <x v="1"/>
    <x v="51"/>
    <x v="0"/>
    <n v="5"/>
    <n v="3"/>
    <n v="2"/>
    <n v="13"/>
    <s v="12*"/>
    <n v="13"/>
    <n v="8"/>
    <n v="162.5"/>
    <n v="0"/>
    <n v="0"/>
    <n v="1"/>
    <n v="0"/>
    <n v="1"/>
    <n v="5"/>
    <n v="16"/>
    <n v="0"/>
    <n v="177"/>
    <n v="2"/>
    <d v="1938-01-01T00:00:00"/>
    <n v="88.5"/>
    <n v="11.06"/>
    <n v="48"/>
    <n v="0"/>
    <n v="0"/>
    <n v="0"/>
    <n v="0"/>
    <n v="8"/>
    <n v="88.5"/>
  </r>
  <r>
    <x v="1"/>
    <x v="52"/>
    <x v="0"/>
    <n v="5"/>
    <n v="2"/>
    <n v="1"/>
    <n v="13"/>
    <s v="12*"/>
    <n v="13"/>
    <n v="11"/>
    <n v="118.18"/>
    <n v="0"/>
    <n v="0"/>
    <n v="0"/>
    <n v="0"/>
    <n v="1"/>
    <n v="5"/>
    <n v="17"/>
    <n v="0"/>
    <n v="159"/>
    <n v="3"/>
    <d v="2016-02-01T00:00:00"/>
    <n v="53"/>
    <n v="9.35"/>
    <n v="34"/>
    <n v="0"/>
    <n v="0"/>
    <n v="2"/>
    <n v="0"/>
    <n v="5"/>
    <n v="53"/>
  </r>
  <r>
    <x v="1"/>
    <x v="52"/>
    <x v="1"/>
    <n v="4"/>
    <n v="2"/>
    <n v="0"/>
    <n v="2"/>
    <n v="1"/>
    <n v="1"/>
    <n v="7"/>
    <n v="28.57"/>
    <n v="0"/>
    <n v="0"/>
    <n v="0"/>
    <n v="0"/>
    <n v="0"/>
    <n v="4"/>
    <n v="15"/>
    <n v="0"/>
    <n v="127"/>
    <n v="4"/>
    <d v="2024-02-01T00:00:00"/>
    <n v="31.75"/>
    <n v="8.4600000000000009"/>
    <n v="22.5"/>
    <n v="0"/>
    <n v="0"/>
    <n v="1"/>
    <n v="0"/>
    <n v="8"/>
    <n v="31.75"/>
  </r>
  <r>
    <x v="1"/>
    <x v="53"/>
    <x v="0"/>
    <n v="2"/>
    <n v="2"/>
    <n v="0"/>
    <n v="23"/>
    <n v="22"/>
    <n v="11.5"/>
    <n v="31"/>
    <n v="74.19"/>
    <n v="0"/>
    <n v="0"/>
    <n v="0"/>
    <n v="1"/>
    <n v="0"/>
    <s v="-"/>
    <s v="-"/>
    <s v="-"/>
    <s v="-"/>
    <s v="-"/>
    <s v="-"/>
    <s v="-"/>
    <s v="-"/>
    <s v="-"/>
    <s v="-"/>
    <s v="-"/>
    <n v="2"/>
    <n v="0"/>
    <n v="13"/>
    <e v="#VALUE!"/>
  </r>
  <r>
    <x v="1"/>
    <x v="54"/>
    <x v="0"/>
    <n v="14"/>
    <n v="6"/>
    <n v="2"/>
    <n v="32"/>
    <n v="15"/>
    <n v="8"/>
    <n v="26"/>
    <n v="123.07"/>
    <n v="0"/>
    <n v="0"/>
    <n v="0"/>
    <n v="3"/>
    <n v="1"/>
    <n v="14"/>
    <n v="48.3"/>
    <n v="0"/>
    <n v="407"/>
    <n v="13"/>
    <d v="2023-03-01T00:00:00"/>
    <n v="31.3"/>
    <n v="8.39"/>
    <n v="22.3"/>
    <n v="0"/>
    <n v="0"/>
    <n v="3"/>
    <n v="0"/>
    <n v="15"/>
    <n v="31.307692307692307"/>
  </r>
  <r>
    <x v="1"/>
    <x v="54"/>
    <x v="1"/>
    <n v="14"/>
    <n v="7"/>
    <n v="1"/>
    <n v="51"/>
    <n v="13"/>
    <n v="8.5"/>
    <n v="50"/>
    <n v="102"/>
    <n v="0"/>
    <n v="0"/>
    <n v="0"/>
    <n v="3"/>
    <n v="1"/>
    <n v="14"/>
    <n v="45.4"/>
    <n v="0"/>
    <n v="410"/>
    <n v="13"/>
    <d v="2024-02-01T00:00:00"/>
    <n v="31.53"/>
    <n v="8.9700000000000006"/>
    <n v="21"/>
    <n v="0"/>
    <n v="0"/>
    <n v="3"/>
    <n v="0"/>
    <n v="8"/>
    <n v="31.53846153846154"/>
  </r>
  <r>
    <x v="1"/>
    <x v="54"/>
    <x v="2"/>
    <n v="9"/>
    <n v="4"/>
    <n v="3"/>
    <n v="10"/>
    <s v="4*"/>
    <n v="10"/>
    <n v="13"/>
    <n v="76.92"/>
    <n v="0"/>
    <n v="0"/>
    <n v="0"/>
    <n v="1"/>
    <n v="0"/>
    <n v="9"/>
    <n v="29.4"/>
    <n v="0"/>
    <n v="322"/>
    <n v="7"/>
    <d v="1933-02-01T00:00:00"/>
    <n v="46"/>
    <n v="10.85"/>
    <n v="25.4"/>
    <n v="0"/>
    <n v="0"/>
    <n v="2"/>
    <n v="0"/>
    <n v="8"/>
    <n v="46"/>
  </r>
  <r>
    <x v="1"/>
    <x v="55"/>
    <x v="0"/>
    <n v="3"/>
    <n v="3"/>
    <n v="1"/>
    <n v="14"/>
    <s v="9*"/>
    <n v="7"/>
    <n v="13"/>
    <n v="107.69"/>
    <n v="0"/>
    <n v="0"/>
    <n v="1"/>
    <n v="2"/>
    <n v="0"/>
    <s v="-"/>
    <s v="-"/>
    <s v="-"/>
    <s v="-"/>
    <s v="-"/>
    <s v="-"/>
    <s v="-"/>
    <s v="-"/>
    <s v="-"/>
    <s v="-"/>
    <s v="-"/>
    <n v="1"/>
    <n v="0"/>
    <n v="6"/>
    <e v="#VALUE!"/>
  </r>
  <r>
    <x v="1"/>
    <x v="56"/>
    <x v="0"/>
    <n v="3"/>
    <n v="3"/>
    <n v="1"/>
    <n v="5"/>
    <n v="4"/>
    <n v="2.5"/>
    <n v="14"/>
    <n v="35.71"/>
    <n v="0"/>
    <n v="0"/>
    <n v="0"/>
    <n v="0"/>
    <n v="0"/>
    <n v="3"/>
    <n v="11"/>
    <n v="0"/>
    <n v="106"/>
    <n v="2"/>
    <d v="1935-01-01T00:00:00"/>
    <n v="53"/>
    <n v="9.6300000000000008"/>
    <n v="33"/>
    <n v="0"/>
    <n v="0"/>
    <n v="1"/>
    <n v="0"/>
    <n v="4"/>
    <n v="53"/>
  </r>
  <r>
    <x v="1"/>
    <x v="57"/>
    <x v="0"/>
    <n v="1"/>
    <n v="1"/>
    <n v="0"/>
    <n v="0"/>
    <n v="0"/>
    <n v="0"/>
    <n v="1"/>
    <n v="0"/>
    <n v="0"/>
    <n v="0"/>
    <n v="1"/>
    <n v="0"/>
    <n v="0"/>
    <n v="1"/>
    <n v="3"/>
    <n v="0"/>
    <n v="29"/>
    <n v="0"/>
    <s v="-"/>
    <s v="-"/>
    <n v="9.66"/>
    <s v="-"/>
    <n v="0"/>
    <n v="0"/>
    <n v="0"/>
    <n v="0"/>
    <n v="14"/>
    <e v="#DIV/0!"/>
  </r>
  <r>
    <x v="1"/>
    <x v="57"/>
    <x v="1"/>
    <n v="4"/>
    <n v="2"/>
    <n v="0"/>
    <n v="12"/>
    <n v="10"/>
    <n v="6"/>
    <n v="19"/>
    <n v="63.15"/>
    <n v="0"/>
    <n v="0"/>
    <n v="0"/>
    <n v="0"/>
    <n v="0"/>
    <n v="4"/>
    <n v="7"/>
    <n v="0"/>
    <n v="61"/>
    <n v="1"/>
    <d v="2014-01-01T00:00:00"/>
    <n v="61"/>
    <n v="8.7100000000000009"/>
    <n v="42"/>
    <n v="0"/>
    <n v="0"/>
    <n v="1"/>
    <n v="0"/>
    <n v="5"/>
    <n v="61"/>
  </r>
  <r>
    <x v="1"/>
    <x v="58"/>
    <x v="0"/>
    <n v="2"/>
    <n v="2"/>
    <n v="2"/>
    <n v="14"/>
    <s v="11*"/>
    <s v="-"/>
    <n v="6"/>
    <n v="233.33"/>
    <n v="0"/>
    <n v="0"/>
    <n v="0"/>
    <n v="0"/>
    <n v="1"/>
    <n v="2"/>
    <n v="7"/>
    <n v="0"/>
    <n v="56"/>
    <n v="2"/>
    <d v="2021-01-01T00:00:00"/>
    <n v="28"/>
    <n v="8"/>
    <n v="21"/>
    <n v="0"/>
    <n v="0"/>
    <n v="0"/>
    <n v="0"/>
    <n v="12"/>
    <n v="28"/>
  </r>
  <r>
    <x v="1"/>
    <x v="59"/>
    <x v="0"/>
    <n v="14"/>
    <n v="4"/>
    <n v="4"/>
    <n v="8"/>
    <s v="5*"/>
    <s v="-"/>
    <n v="9"/>
    <n v="88.88"/>
    <n v="0"/>
    <n v="0"/>
    <n v="0"/>
    <n v="0"/>
    <n v="0"/>
    <n v="14"/>
    <n v="50"/>
    <n v="1"/>
    <n v="366"/>
    <n v="15"/>
    <d v="2020-11-02T00:00:00"/>
    <n v="24.4"/>
    <n v="7.32"/>
    <n v="20"/>
    <n v="0"/>
    <n v="0"/>
    <n v="2"/>
    <n v="0"/>
    <n v="18"/>
    <n v="24.4"/>
  </r>
  <r>
    <x v="1"/>
    <x v="59"/>
    <x v="1"/>
    <n v="13"/>
    <n v="4"/>
    <n v="4"/>
    <n v="7"/>
    <s v="5*"/>
    <s v="-"/>
    <n v="6"/>
    <n v="116.66"/>
    <n v="0"/>
    <n v="0"/>
    <n v="0"/>
    <n v="0"/>
    <n v="0"/>
    <n v="13"/>
    <n v="48"/>
    <n v="0"/>
    <n v="398"/>
    <n v="17"/>
    <d v="2020-04-01T00:00:00"/>
    <n v="23.41"/>
    <n v="8.2899999999999991"/>
    <n v="16.899999999999999"/>
    <n v="1"/>
    <n v="0"/>
    <n v="3"/>
    <n v="0"/>
    <n v="4"/>
    <n v="23.411764705882351"/>
  </r>
  <r>
    <x v="1"/>
    <x v="60"/>
    <x v="0"/>
    <n v="2"/>
    <s v="-"/>
    <s v="-"/>
    <s v="-"/>
    <s v="-"/>
    <s v="-"/>
    <s v="-"/>
    <s v="-"/>
    <s v="-"/>
    <s v="-"/>
    <s v="-"/>
    <s v="-"/>
    <s v="-"/>
    <n v="2"/>
    <n v="6"/>
    <n v="0"/>
    <n v="43"/>
    <n v="0"/>
    <s v="-"/>
    <s v="-"/>
    <n v="7.16"/>
    <s v="-"/>
    <n v="0"/>
    <n v="0"/>
    <n v="0"/>
    <n v="0"/>
    <n v="14"/>
    <e v="#DIV/0!"/>
  </r>
  <r>
    <x v="1"/>
    <x v="60"/>
    <x v="1"/>
    <n v="1"/>
    <n v="1"/>
    <n v="0"/>
    <n v="15"/>
    <n v="15"/>
    <n v="15"/>
    <n v="12"/>
    <n v="125"/>
    <n v="0"/>
    <n v="0"/>
    <n v="0"/>
    <n v="2"/>
    <n v="0"/>
    <n v="1"/>
    <n v="2"/>
    <n v="0"/>
    <n v="26"/>
    <n v="0"/>
    <s v="-"/>
    <s v="-"/>
    <n v="13"/>
    <s v="-"/>
    <n v="0"/>
    <n v="0"/>
    <n v="0"/>
    <n v="0"/>
    <n v="15"/>
    <e v="#DIV/0!"/>
  </r>
  <r>
    <x v="1"/>
    <x v="61"/>
    <x v="2"/>
    <n v="8"/>
    <n v="3"/>
    <n v="0"/>
    <n v="11"/>
    <n v="8"/>
    <n v="3.66"/>
    <n v="18"/>
    <n v="61.11"/>
    <n v="0"/>
    <n v="0"/>
    <n v="0"/>
    <n v="1"/>
    <n v="0"/>
    <n v="8"/>
    <n v="26.1"/>
    <n v="1"/>
    <n v="223"/>
    <n v="11"/>
    <d v="2014-05-01T00:00:00"/>
    <n v="20.27"/>
    <n v="8.52"/>
    <n v="14.2"/>
    <n v="0"/>
    <n v="1"/>
    <n v="2"/>
    <n v="0"/>
    <n v="10"/>
    <n v="20.272727272727273"/>
  </r>
  <r>
    <x v="1"/>
    <x v="61"/>
    <x v="3"/>
    <n v="4"/>
    <s v="-"/>
    <s v="-"/>
    <s v="-"/>
    <s v="-"/>
    <s v="-"/>
    <s v="-"/>
    <s v="-"/>
    <s v="-"/>
    <s v="-"/>
    <s v="-"/>
    <s v="-"/>
    <s v="-"/>
    <n v="4"/>
    <n v="16"/>
    <n v="0"/>
    <n v="152"/>
    <n v="3"/>
    <d v="1933-02-01T00:00:00"/>
    <n v="50.66"/>
    <n v="9.5"/>
    <n v="32"/>
    <n v="0"/>
    <n v="0"/>
    <n v="1"/>
    <n v="0"/>
    <n v="6"/>
    <n v="50.666666666666664"/>
  </r>
  <r>
    <x v="1"/>
    <x v="62"/>
    <x v="1"/>
    <n v="7"/>
    <n v="7"/>
    <n v="1"/>
    <n v="132"/>
    <s v="50*"/>
    <n v="22"/>
    <n v="88"/>
    <n v="150"/>
    <n v="0"/>
    <n v="1"/>
    <n v="1"/>
    <n v="17"/>
    <n v="5"/>
    <s v="-"/>
    <s v="-"/>
    <s v="-"/>
    <s v="-"/>
    <s v="-"/>
    <s v="-"/>
    <s v="-"/>
    <s v="-"/>
    <s v="-"/>
    <s v="-"/>
    <s v="-"/>
    <n v="6"/>
    <n v="0"/>
    <n v="10"/>
    <e v="#VALUE!"/>
  </r>
  <r>
    <x v="1"/>
    <x v="63"/>
    <x v="2"/>
    <n v="14"/>
    <n v="14"/>
    <n v="2"/>
    <n v="659"/>
    <s v="95*"/>
    <n v="54.91"/>
    <n v="416"/>
    <n v="158.41"/>
    <n v="0"/>
    <n v="6"/>
    <n v="0"/>
    <n v="66"/>
    <n v="32"/>
    <s v="-"/>
    <s v="-"/>
    <s v="-"/>
    <s v="-"/>
    <s v="-"/>
    <s v="-"/>
    <s v="-"/>
    <s v="-"/>
    <s v="-"/>
    <s v="-"/>
    <s v="-"/>
    <n v="10"/>
    <n v="1"/>
    <n v="15"/>
    <e v="#VALUE!"/>
  </r>
  <r>
    <x v="1"/>
    <x v="63"/>
    <x v="3"/>
    <n v="14"/>
    <n v="14"/>
    <n v="3"/>
    <n v="593"/>
    <s v="100*"/>
    <n v="53.9"/>
    <n v="438"/>
    <n v="135.38"/>
    <n v="1"/>
    <n v="6"/>
    <n v="0"/>
    <n v="49"/>
    <n v="25"/>
    <s v="-"/>
    <s v="-"/>
    <s v="-"/>
    <s v="-"/>
    <s v="-"/>
    <s v="-"/>
    <s v="-"/>
    <s v="-"/>
    <s v="-"/>
    <s v="-"/>
    <s v="-"/>
    <n v="7"/>
    <n v="0"/>
    <n v="18"/>
    <e v="#VALUE!"/>
  </r>
  <r>
    <x v="1"/>
    <x v="64"/>
    <x v="3"/>
    <n v="8"/>
    <n v="5"/>
    <n v="1"/>
    <n v="180"/>
    <n v="67"/>
    <n v="45"/>
    <n v="143"/>
    <n v="125.87"/>
    <n v="0"/>
    <n v="1"/>
    <n v="0"/>
    <n v="19"/>
    <n v="4"/>
    <n v="1"/>
    <n v="0.2"/>
    <n v="0"/>
    <n v="6"/>
    <n v="0"/>
    <s v="-"/>
    <s v="-"/>
    <n v="18"/>
    <s v="-"/>
    <n v="0"/>
    <n v="0"/>
    <n v="0"/>
    <n v="0"/>
    <n v="10"/>
    <e v="#DIV/0!"/>
  </r>
  <r>
    <x v="1"/>
    <x v="65"/>
    <x v="2"/>
    <n v="11"/>
    <n v="11"/>
    <n v="2"/>
    <n v="368"/>
    <s v="104*"/>
    <n v="40.880000000000003"/>
    <n v="252"/>
    <n v="146.03"/>
    <n v="1"/>
    <n v="3"/>
    <n v="1"/>
    <n v="30"/>
    <n v="27"/>
    <s v="-"/>
    <s v="-"/>
    <s v="-"/>
    <s v="-"/>
    <s v="-"/>
    <s v="-"/>
    <s v="-"/>
    <s v="-"/>
    <s v="-"/>
    <s v="-"/>
    <s v="-"/>
    <n v="2"/>
    <n v="0"/>
    <n v="17"/>
    <e v="#VALUE!"/>
  </r>
  <r>
    <x v="1"/>
    <x v="65"/>
    <x v="3"/>
    <n v="13"/>
    <n v="13"/>
    <n v="1"/>
    <n v="490"/>
    <s v="99*"/>
    <n v="40.83"/>
    <n v="319"/>
    <n v="153.6"/>
    <n v="0"/>
    <n v="4"/>
    <n v="0"/>
    <n v="45"/>
    <n v="34"/>
    <s v="-"/>
    <s v="-"/>
    <s v="-"/>
    <s v="-"/>
    <s v="-"/>
    <s v="-"/>
    <s v="-"/>
    <s v="-"/>
    <s v="-"/>
    <s v="-"/>
    <s v="-"/>
    <n v="0"/>
    <n v="0"/>
    <n v="18"/>
    <e v="#VALUE!"/>
  </r>
  <r>
    <x v="1"/>
    <x v="66"/>
    <x v="1"/>
    <n v="6"/>
    <n v="2"/>
    <n v="1"/>
    <n v="4"/>
    <n v="4"/>
    <n v="4"/>
    <n v="10"/>
    <n v="40"/>
    <n v="0"/>
    <n v="0"/>
    <n v="0"/>
    <n v="0"/>
    <n v="0"/>
    <n v="6"/>
    <n v="20"/>
    <n v="0"/>
    <n v="163"/>
    <n v="7"/>
    <d v="2020-03-02T00:00:00"/>
    <n v="23.28"/>
    <n v="8.15"/>
    <n v="17.100000000000001"/>
    <n v="0"/>
    <n v="0"/>
    <n v="0"/>
    <n v="0"/>
    <n v="13"/>
    <n v="23.285714285714285"/>
  </r>
  <r>
    <x v="1"/>
    <x v="67"/>
    <x v="3"/>
    <n v="13"/>
    <n v="12"/>
    <n v="8"/>
    <n v="165"/>
    <s v="33*"/>
    <n v="41.25"/>
    <n v="120"/>
    <n v="137.5"/>
    <n v="0"/>
    <n v="0"/>
    <n v="1"/>
    <n v="10"/>
    <n v="4"/>
    <n v="2"/>
    <n v="2"/>
    <n v="0"/>
    <n v="26"/>
    <n v="0"/>
    <s v="-"/>
    <s v="-"/>
    <n v="13"/>
    <s v="-"/>
    <n v="0"/>
    <n v="0"/>
    <n v="4"/>
    <n v="0"/>
    <n v="15"/>
    <e v="#DIV/0!"/>
  </r>
  <r>
    <x v="1"/>
    <x v="68"/>
    <x v="2"/>
    <n v="8"/>
    <n v="6"/>
    <n v="0"/>
    <n v="65"/>
    <n v="20"/>
    <n v="10.83"/>
    <n v="73"/>
    <n v="89.04"/>
    <n v="0"/>
    <n v="0"/>
    <n v="0"/>
    <n v="6"/>
    <n v="2"/>
    <n v="2"/>
    <n v="2"/>
    <n v="0"/>
    <n v="23"/>
    <n v="0"/>
    <s v="-"/>
    <s v="-"/>
    <n v="11.5"/>
    <s v="-"/>
    <n v="0"/>
    <n v="0"/>
    <n v="1"/>
    <n v="0"/>
    <n v="6"/>
    <e v="#DIV/0!"/>
  </r>
  <r>
    <x v="1"/>
    <x v="69"/>
    <x v="1"/>
    <n v="4"/>
    <n v="4"/>
    <n v="0"/>
    <n v="65"/>
    <n v="26"/>
    <n v="16.25"/>
    <n v="62"/>
    <n v="104.83"/>
    <n v="0"/>
    <n v="0"/>
    <n v="0"/>
    <n v="6"/>
    <n v="2"/>
    <s v="-"/>
    <s v="-"/>
    <s v="-"/>
    <s v="-"/>
    <s v="-"/>
    <s v="-"/>
    <s v="-"/>
    <s v="-"/>
    <s v="-"/>
    <s v="-"/>
    <s v="-"/>
    <n v="3"/>
    <n v="0"/>
    <n v="8"/>
    <e v="#VALUE!"/>
  </r>
  <r>
    <x v="1"/>
    <x v="70"/>
    <x v="2"/>
    <n v="6"/>
    <n v="4"/>
    <n v="3"/>
    <n v="3"/>
    <n v="2"/>
    <n v="3"/>
    <n v="7"/>
    <n v="42.85"/>
    <n v="0"/>
    <n v="0"/>
    <n v="0"/>
    <n v="0"/>
    <n v="0"/>
    <n v="6"/>
    <n v="22"/>
    <n v="0"/>
    <n v="229"/>
    <n v="4"/>
    <d v="1950-02-01T00:00:00"/>
    <n v="57.25"/>
    <n v="10.4"/>
    <n v="33"/>
    <n v="0"/>
    <n v="0"/>
    <n v="2"/>
    <n v="0"/>
    <n v="7"/>
    <n v="57.25"/>
  </r>
  <r>
    <x v="1"/>
    <x v="71"/>
    <x v="2"/>
    <n v="10"/>
    <n v="9"/>
    <n v="1"/>
    <n v="134"/>
    <n v="46"/>
    <n v="16.75"/>
    <n v="100"/>
    <n v="134"/>
    <n v="0"/>
    <n v="0"/>
    <n v="2"/>
    <n v="6"/>
    <n v="8"/>
    <s v="-"/>
    <s v="-"/>
    <s v="-"/>
    <s v="-"/>
    <s v="-"/>
    <s v="-"/>
    <s v="-"/>
    <s v="-"/>
    <s v="-"/>
    <s v="-"/>
    <s v="-"/>
    <n v="4"/>
    <n v="0"/>
    <n v="4"/>
    <e v="#VALUE!"/>
  </r>
  <r>
    <x v="1"/>
    <x v="72"/>
    <x v="2"/>
    <n v="1"/>
    <n v="1"/>
    <n v="0"/>
    <n v="9"/>
    <n v="9"/>
    <n v="9"/>
    <n v="13"/>
    <n v="69.23"/>
    <n v="0"/>
    <n v="0"/>
    <n v="0"/>
    <n v="1"/>
    <n v="0"/>
    <s v="-"/>
    <s v="-"/>
    <s v="-"/>
    <s v="-"/>
    <s v="-"/>
    <s v="-"/>
    <s v="-"/>
    <s v="-"/>
    <s v="-"/>
    <s v="-"/>
    <s v="-"/>
    <n v="1"/>
    <n v="0"/>
    <n v="15"/>
    <e v="#VALUE!"/>
  </r>
  <r>
    <x v="1"/>
    <x v="73"/>
    <x v="2"/>
    <n v="14"/>
    <n v="9"/>
    <n v="1"/>
    <n v="102"/>
    <n v="45"/>
    <n v="12.75"/>
    <n v="71"/>
    <n v="143.66"/>
    <n v="0"/>
    <n v="0"/>
    <n v="3"/>
    <n v="7"/>
    <n v="5"/>
    <n v="14"/>
    <n v="50.4"/>
    <n v="0"/>
    <n v="410"/>
    <n v="10"/>
    <d v="2018-02-01T00:00:00"/>
    <n v="41"/>
    <n v="8.09"/>
    <n v="30.4"/>
    <n v="0"/>
    <n v="0"/>
    <n v="5"/>
    <n v="0"/>
    <n v="3"/>
    <n v="41"/>
  </r>
  <r>
    <x v="1"/>
    <x v="73"/>
    <x v="3"/>
    <n v="14"/>
    <n v="6"/>
    <n v="1"/>
    <n v="42"/>
    <s v="17*"/>
    <n v="8.4"/>
    <n v="28"/>
    <n v="150"/>
    <n v="0"/>
    <n v="0"/>
    <n v="2"/>
    <n v="3"/>
    <n v="3"/>
    <n v="14"/>
    <n v="55"/>
    <n v="0"/>
    <n v="400"/>
    <n v="15"/>
    <d v="2023-03-01T00:00:00"/>
    <n v="26.66"/>
    <n v="7.27"/>
    <n v="22"/>
    <n v="0"/>
    <n v="0"/>
    <n v="4"/>
    <n v="0"/>
    <n v="4"/>
    <n v="26.666666666666668"/>
  </r>
  <r>
    <x v="1"/>
    <x v="74"/>
    <x v="3"/>
    <n v="10"/>
    <n v="3"/>
    <n v="2"/>
    <n v="3"/>
    <s v="1*"/>
    <n v="3"/>
    <n v="5"/>
    <n v="60"/>
    <n v="0"/>
    <n v="0"/>
    <n v="0"/>
    <n v="0"/>
    <n v="0"/>
    <n v="10"/>
    <n v="34"/>
    <n v="0"/>
    <n v="255"/>
    <n v="5"/>
    <d v="2025-02-01T00:00:00"/>
    <n v="51"/>
    <n v="7.5"/>
    <n v="40.799999999999997"/>
    <n v="0"/>
    <n v="0"/>
    <n v="3"/>
    <n v="0"/>
    <n v="11"/>
    <n v="51"/>
  </r>
  <r>
    <x v="1"/>
    <x v="75"/>
    <x v="1"/>
    <n v="6"/>
    <n v="3"/>
    <n v="1"/>
    <n v="8"/>
    <s v="5*"/>
    <n v="4"/>
    <n v="12"/>
    <n v="66.66"/>
    <n v="0"/>
    <n v="0"/>
    <n v="0"/>
    <n v="1"/>
    <n v="0"/>
    <n v="6"/>
    <n v="18"/>
    <n v="0"/>
    <n v="179"/>
    <n v="0"/>
    <s v="-"/>
    <s v="-"/>
    <n v="9.94"/>
    <s v="-"/>
    <n v="0"/>
    <n v="0"/>
    <n v="0"/>
    <n v="0"/>
    <n v="16"/>
    <e v="#DIV/0!"/>
  </r>
  <r>
    <x v="1"/>
    <x v="31"/>
    <x v="1"/>
    <n v="3"/>
    <n v="2"/>
    <n v="1"/>
    <n v="19"/>
    <s v="15*"/>
    <n v="19"/>
    <n v="11"/>
    <n v="172.72"/>
    <n v="0"/>
    <n v="0"/>
    <n v="0"/>
    <n v="4"/>
    <n v="0"/>
    <n v="3"/>
    <n v="9"/>
    <n v="0"/>
    <n v="49"/>
    <n v="3"/>
    <d v="2018-02-01T00:00:00"/>
    <n v="16.329999999999998"/>
    <n v="5.44"/>
    <n v="18"/>
    <n v="0"/>
    <n v="0"/>
    <n v="0"/>
    <n v="0"/>
    <n v="13"/>
    <n v="16.333333333333332"/>
  </r>
  <r>
    <x v="1"/>
    <x v="76"/>
    <x v="1"/>
    <n v="2"/>
    <s v="-"/>
    <s v="-"/>
    <s v="-"/>
    <s v="-"/>
    <s v="-"/>
    <s v="-"/>
    <s v="-"/>
    <s v="-"/>
    <s v="-"/>
    <s v="-"/>
    <s v="-"/>
    <s v="-"/>
    <n v="2"/>
    <n v="5"/>
    <n v="0"/>
    <n v="71"/>
    <n v="1"/>
    <d v="1931-01-01T00:00:00"/>
    <n v="71"/>
    <n v="14.2"/>
    <n v="30"/>
    <n v="0"/>
    <n v="0"/>
    <n v="0"/>
    <n v="0"/>
    <n v="15"/>
    <n v="71"/>
  </r>
  <r>
    <x v="1"/>
    <x v="77"/>
    <x v="1"/>
    <n v="6"/>
    <s v="-"/>
    <s v="-"/>
    <s v="-"/>
    <s v="-"/>
    <s v="-"/>
    <s v="-"/>
    <s v="-"/>
    <s v="-"/>
    <s v="-"/>
    <s v="-"/>
    <s v="-"/>
    <s v="-"/>
    <n v="6"/>
    <n v="12.4"/>
    <n v="0"/>
    <n v="115"/>
    <n v="2"/>
    <d v="2026-01-01T00:00:00"/>
    <n v="57.5"/>
    <n v="9.07"/>
    <n v="38"/>
    <n v="0"/>
    <n v="0"/>
    <n v="0"/>
    <n v="0"/>
    <n v="18"/>
    <n v="57.5"/>
  </r>
  <r>
    <x v="1"/>
    <x v="78"/>
    <x v="2"/>
    <n v="14"/>
    <n v="8"/>
    <n v="2"/>
    <n v="32"/>
    <n v="14"/>
    <n v="5.33"/>
    <n v="38"/>
    <n v="84.21"/>
    <n v="0"/>
    <n v="0"/>
    <n v="2"/>
    <n v="2"/>
    <n v="1"/>
    <n v="14"/>
    <n v="56"/>
    <n v="0"/>
    <n v="448"/>
    <n v="24"/>
    <d v="2016-04-01T00:00:00"/>
    <n v="18.66"/>
    <n v="8"/>
    <n v="14"/>
    <n v="3"/>
    <n v="0"/>
    <n v="5"/>
    <n v="0"/>
    <n v="4"/>
    <n v="18.666666666666668"/>
  </r>
  <r>
    <x v="1"/>
    <x v="78"/>
    <x v="3"/>
    <n v="6"/>
    <n v="1"/>
    <n v="1"/>
    <n v="0"/>
    <s v="0*"/>
    <s v="-"/>
    <n v="2"/>
    <n v="0"/>
    <n v="0"/>
    <n v="0"/>
    <n v="0"/>
    <n v="0"/>
    <n v="0"/>
    <n v="6"/>
    <n v="22"/>
    <n v="0"/>
    <n v="233"/>
    <n v="3"/>
    <d v="1937-01-01T00:00:00"/>
    <n v="77.66"/>
    <n v="10.59"/>
    <n v="44"/>
    <n v="0"/>
    <n v="0"/>
    <n v="2"/>
    <n v="0"/>
    <n v="14"/>
    <n v="77.666666666666671"/>
  </r>
  <r>
    <x v="1"/>
    <x v="79"/>
    <x v="2"/>
    <n v="5"/>
    <n v="4"/>
    <n v="1"/>
    <n v="47"/>
    <n v="35"/>
    <n v="15.66"/>
    <n v="44"/>
    <n v="106.81"/>
    <n v="0"/>
    <n v="0"/>
    <n v="0"/>
    <n v="4"/>
    <n v="1"/>
    <n v="1"/>
    <n v="1"/>
    <n v="0"/>
    <n v="10"/>
    <n v="0"/>
    <s v="-"/>
    <s v="-"/>
    <n v="10"/>
    <s v="-"/>
    <n v="0"/>
    <n v="0"/>
    <n v="4"/>
    <n v="0"/>
    <n v="16"/>
    <e v="#DIV/0!"/>
  </r>
  <r>
    <x v="1"/>
    <x v="80"/>
    <x v="2"/>
    <n v="11"/>
    <n v="2"/>
    <n v="1"/>
    <n v="10"/>
    <s v="10*"/>
    <n v="10"/>
    <n v="7"/>
    <n v="142.85"/>
    <n v="0"/>
    <n v="0"/>
    <n v="1"/>
    <n v="2"/>
    <n v="0"/>
    <n v="11"/>
    <n v="41.2"/>
    <n v="0"/>
    <n v="289"/>
    <n v="14"/>
    <d v="2027-03-01T00:00:00"/>
    <n v="20.64"/>
    <n v="6.99"/>
    <n v="17.7"/>
    <n v="0"/>
    <n v="0"/>
    <n v="1"/>
    <n v="0"/>
    <n v="17"/>
    <n v="20.642857142857142"/>
  </r>
  <r>
    <x v="1"/>
    <x v="80"/>
    <x v="3"/>
    <n v="5"/>
    <n v="3"/>
    <n v="2"/>
    <n v="0"/>
    <s v="0*"/>
    <n v="0"/>
    <n v="4"/>
    <n v="0"/>
    <n v="0"/>
    <n v="0"/>
    <n v="1"/>
    <n v="0"/>
    <n v="0"/>
    <n v="5"/>
    <n v="19"/>
    <n v="0"/>
    <n v="191"/>
    <n v="3"/>
    <d v="1931-02-01T00:00:00"/>
    <n v="63.66"/>
    <n v="10.050000000000001"/>
    <n v="38"/>
    <n v="0"/>
    <n v="0"/>
    <n v="1"/>
    <n v="0"/>
    <n v="4"/>
    <n v="63.666666666666664"/>
  </r>
  <r>
    <x v="1"/>
    <x v="81"/>
    <x v="3"/>
    <n v="7"/>
    <n v="6"/>
    <n v="0"/>
    <n v="168"/>
    <n v="48"/>
    <n v="28"/>
    <n v="107"/>
    <n v="157"/>
    <n v="0"/>
    <n v="0"/>
    <n v="0"/>
    <n v="9"/>
    <n v="14"/>
    <s v="-"/>
    <s v="-"/>
    <s v="-"/>
    <s v="-"/>
    <s v="-"/>
    <s v="-"/>
    <s v="-"/>
    <s v="-"/>
    <s v="-"/>
    <s v="-"/>
    <s v="-"/>
    <n v="1"/>
    <n v="0"/>
    <n v="9"/>
    <e v="#VALUE!"/>
  </r>
  <r>
    <x v="1"/>
    <x v="82"/>
    <x v="3"/>
    <n v="9"/>
    <n v="8"/>
    <n v="4"/>
    <n v="95"/>
    <s v="55*"/>
    <n v="23.75"/>
    <n v="55"/>
    <n v="172.72"/>
    <n v="0"/>
    <n v="1"/>
    <n v="1"/>
    <n v="13"/>
    <n v="3"/>
    <n v="9"/>
    <n v="33"/>
    <n v="0"/>
    <n v="323"/>
    <n v="10"/>
    <d v="2020-11-04T00:00:00"/>
    <n v="32.299999999999997"/>
    <n v="9.7799999999999994"/>
    <n v="19.8"/>
    <n v="1"/>
    <n v="0"/>
    <n v="2"/>
    <n v="0"/>
    <n v="9"/>
    <n v="32.299999999999997"/>
  </r>
  <r>
    <x v="1"/>
    <x v="83"/>
    <x v="3"/>
    <n v="1"/>
    <n v="1"/>
    <n v="0"/>
    <n v="16"/>
    <n v="16"/>
    <n v="16"/>
    <n v="17"/>
    <n v="94.11"/>
    <n v="0"/>
    <n v="0"/>
    <n v="0"/>
    <n v="1"/>
    <n v="1"/>
    <s v="-"/>
    <s v="-"/>
    <s v="-"/>
    <s v="-"/>
    <s v="-"/>
    <s v="-"/>
    <s v="-"/>
    <s v="-"/>
    <s v="-"/>
    <s v="-"/>
    <s v="-"/>
    <n v="1"/>
    <n v="0"/>
    <n v="10"/>
    <e v="#VALUE!"/>
  </r>
  <r>
    <x v="1"/>
    <x v="84"/>
    <x v="3"/>
    <n v="6"/>
    <n v="3"/>
    <n v="1"/>
    <n v="3"/>
    <s v="2*"/>
    <n v="1.5"/>
    <n v="7"/>
    <n v="42.85"/>
    <n v="0"/>
    <n v="0"/>
    <n v="1"/>
    <n v="0"/>
    <n v="0"/>
    <n v="6"/>
    <n v="23"/>
    <n v="0"/>
    <n v="222"/>
    <n v="7"/>
    <d v="1939-02-01T00:00:00"/>
    <n v="31.71"/>
    <n v="9.65"/>
    <n v="19.7"/>
    <n v="0"/>
    <n v="0"/>
    <n v="0"/>
    <n v="0"/>
    <n v="15"/>
    <n v="31.714285714285715"/>
  </r>
  <r>
    <x v="1"/>
    <x v="85"/>
    <x v="3"/>
    <n v="2"/>
    <n v="1"/>
    <n v="1"/>
    <n v="20"/>
    <s v="20*"/>
    <s v="-"/>
    <n v="12"/>
    <n v="166.66"/>
    <n v="0"/>
    <n v="0"/>
    <n v="0"/>
    <n v="2"/>
    <n v="1"/>
    <n v="2"/>
    <n v="5"/>
    <n v="0"/>
    <n v="48"/>
    <n v="0"/>
    <s v="-"/>
    <s v="-"/>
    <n v="9.6"/>
    <s v="-"/>
    <n v="0"/>
    <n v="0"/>
    <n v="0"/>
    <n v="0"/>
    <n v="17"/>
    <e v="#DIV/0!"/>
  </r>
  <r>
    <x v="1"/>
    <x v="86"/>
    <x v="3"/>
    <n v="3"/>
    <s v="-"/>
    <s v="-"/>
    <s v="-"/>
    <s v="-"/>
    <s v="-"/>
    <s v="-"/>
    <s v="-"/>
    <s v="-"/>
    <s v="-"/>
    <s v="-"/>
    <s v="-"/>
    <s v="-"/>
    <n v="3"/>
    <n v="10"/>
    <n v="0"/>
    <n v="109"/>
    <n v="3"/>
    <d v="1943-02-01T00:00:00"/>
    <n v="36.33"/>
    <n v="10.9"/>
    <n v="20"/>
    <n v="0"/>
    <n v="0"/>
    <n v="0"/>
    <n v="0"/>
    <n v="15"/>
    <n v="36.333333333333336"/>
  </r>
  <r>
    <x v="1"/>
    <x v="87"/>
    <x v="3"/>
    <n v="1"/>
    <s v="-"/>
    <s v="-"/>
    <s v="-"/>
    <s v="-"/>
    <s v="-"/>
    <s v="-"/>
    <s v="-"/>
    <s v="-"/>
    <s v="-"/>
    <s v="-"/>
    <s v="-"/>
    <s v="-"/>
    <n v="1"/>
    <n v="3"/>
    <n v="0"/>
    <n v="35"/>
    <n v="1"/>
    <d v="1935-01-01T00:00:00"/>
    <n v="35"/>
    <n v="11.66"/>
    <n v="18"/>
    <n v="0"/>
    <n v="0"/>
    <n v="0"/>
    <n v="0"/>
    <n v="16"/>
    <n v="35"/>
  </r>
  <r>
    <x v="2"/>
    <x v="8"/>
    <x v="3"/>
    <n v="2"/>
    <n v="2"/>
    <n v="0"/>
    <n v="11"/>
    <n v="6"/>
    <n v="5.5"/>
    <n v="10"/>
    <n v="110"/>
    <n v="0"/>
    <n v="0"/>
    <n v="0"/>
    <n v="1"/>
    <n v="0"/>
    <n v="2"/>
    <n v="3"/>
    <n v="0"/>
    <n v="29"/>
    <n v="0"/>
    <s v="-"/>
    <s v="-"/>
    <n v="9.66"/>
    <s v="-"/>
    <n v="0"/>
    <n v="0"/>
    <n v="0"/>
    <n v="0"/>
    <n v="16"/>
    <e v="#DIV/0!"/>
  </r>
  <r>
    <x v="2"/>
    <x v="15"/>
    <x v="1"/>
    <n v="8"/>
    <n v="3"/>
    <n v="0"/>
    <n v="14"/>
    <n v="6"/>
    <n v="4.66"/>
    <n v="12"/>
    <n v="116.66"/>
    <n v="0"/>
    <n v="0"/>
    <n v="0"/>
    <n v="0"/>
    <n v="2"/>
    <n v="8"/>
    <n v="28.2"/>
    <n v="0"/>
    <n v="228"/>
    <n v="15"/>
    <d v="2020-03-01T00:00:00"/>
    <n v="15.2"/>
    <n v="8.0399999999999991"/>
    <n v="11.3"/>
    <n v="0"/>
    <n v="0"/>
    <n v="2"/>
    <n v="0"/>
    <n v="4"/>
    <n v="15.2"/>
  </r>
  <r>
    <x v="2"/>
    <x v="52"/>
    <x v="3"/>
    <n v="1"/>
    <n v="1"/>
    <n v="1"/>
    <n v="9"/>
    <s v="9*"/>
    <s v="-"/>
    <n v="3"/>
    <n v="300"/>
    <n v="0"/>
    <n v="0"/>
    <n v="0"/>
    <n v="0"/>
    <n v="1"/>
    <n v="1"/>
    <n v="2"/>
    <n v="0"/>
    <n v="34"/>
    <n v="0"/>
    <s v="-"/>
    <s v="-"/>
    <n v="17"/>
    <s v="-"/>
    <n v="0"/>
    <n v="0"/>
    <n v="0"/>
    <n v="0"/>
    <n v="8"/>
    <e v="#DIV/0!"/>
  </r>
  <r>
    <x v="2"/>
    <x v="53"/>
    <x v="3"/>
    <n v="1"/>
    <n v="1"/>
    <n v="0"/>
    <n v="7"/>
    <n v="7"/>
    <n v="7"/>
    <n v="16"/>
    <n v="43.75"/>
    <n v="0"/>
    <n v="0"/>
    <n v="0"/>
    <n v="1"/>
    <n v="0"/>
    <s v="-"/>
    <s v="-"/>
    <s v="-"/>
    <s v="-"/>
    <s v="-"/>
    <s v="-"/>
    <s v="-"/>
    <s v="-"/>
    <s v="-"/>
    <s v="-"/>
    <s v="-"/>
    <n v="0"/>
    <n v="0"/>
    <n v="7"/>
    <e v="#VALUE!"/>
  </r>
  <r>
    <x v="2"/>
    <x v="56"/>
    <x v="2"/>
    <n v="6"/>
    <n v="2"/>
    <n v="2"/>
    <n v="16"/>
    <s v="12*"/>
    <s v="-"/>
    <n v="11"/>
    <n v="145.44999999999999"/>
    <n v="0"/>
    <n v="0"/>
    <n v="0"/>
    <n v="2"/>
    <n v="0"/>
    <n v="6"/>
    <n v="21"/>
    <n v="0"/>
    <n v="216"/>
    <n v="2"/>
    <d v="1930-01-01T00:00:00"/>
    <n v="108"/>
    <n v="10.28"/>
    <n v="63"/>
    <n v="0"/>
    <n v="0"/>
    <n v="2"/>
    <n v="0"/>
    <n v="15"/>
    <n v="108"/>
  </r>
  <r>
    <x v="2"/>
    <x v="88"/>
    <x v="0"/>
    <n v="15"/>
    <n v="13"/>
    <n v="8"/>
    <n v="361"/>
    <s v="63*"/>
    <n v="72.2"/>
    <n v="248"/>
    <n v="145.56"/>
    <n v="0"/>
    <n v="3"/>
    <n v="0"/>
    <n v="33"/>
    <n v="13"/>
    <n v="4"/>
    <n v="6"/>
    <n v="0"/>
    <n v="33"/>
    <n v="1"/>
    <d v="2020-06-01T00:00:00"/>
    <n v="33"/>
    <n v="5.5"/>
    <n v="36"/>
    <n v="0"/>
    <n v="0"/>
    <n v="3"/>
    <n v="0"/>
    <n v="13"/>
    <n v="33"/>
  </r>
  <r>
    <x v="2"/>
    <x v="88"/>
    <x v="1"/>
    <n v="15"/>
    <n v="11"/>
    <n v="3"/>
    <n v="143"/>
    <n v="59"/>
    <n v="17.87"/>
    <n v="115"/>
    <n v="124.34"/>
    <n v="0"/>
    <n v="1"/>
    <n v="1"/>
    <n v="9"/>
    <n v="6"/>
    <n v="4"/>
    <n v="4"/>
    <n v="0"/>
    <n v="41"/>
    <n v="1"/>
    <d v="2020-02-01T00:00:00"/>
    <n v="41"/>
    <n v="10.25"/>
    <n v="24"/>
    <n v="0"/>
    <n v="0"/>
    <n v="2"/>
    <n v="0"/>
    <n v="5"/>
    <n v="41"/>
  </r>
  <r>
    <x v="2"/>
    <x v="19"/>
    <x v="0"/>
    <n v="15"/>
    <n v="15"/>
    <n v="2"/>
    <n v="501"/>
    <s v="90*"/>
    <n v="38.53"/>
    <n v="411"/>
    <n v="121.89"/>
    <n v="0"/>
    <n v="5"/>
    <n v="1"/>
    <n v="54"/>
    <n v="6"/>
    <s v="-"/>
    <s v="-"/>
    <s v="-"/>
    <s v="-"/>
    <s v="-"/>
    <s v="-"/>
    <s v="-"/>
    <s v="-"/>
    <s v="-"/>
    <s v="-"/>
    <s v="-"/>
    <n v="1"/>
    <n v="0"/>
    <n v="6"/>
    <e v="#VALUE!"/>
  </r>
  <r>
    <x v="2"/>
    <x v="19"/>
    <x v="1"/>
    <n v="16"/>
    <n v="16"/>
    <n v="4"/>
    <n v="498"/>
    <s v="76*"/>
    <n v="41.5"/>
    <n v="389"/>
    <n v="128.02000000000001"/>
    <n v="0"/>
    <n v="4"/>
    <n v="0"/>
    <n v="62"/>
    <n v="7"/>
    <s v="-"/>
    <s v="-"/>
    <s v="-"/>
    <s v="-"/>
    <s v="-"/>
    <s v="-"/>
    <s v="-"/>
    <s v="-"/>
    <s v="-"/>
    <s v="-"/>
    <s v="-"/>
    <n v="6"/>
    <n v="0"/>
    <n v="15"/>
    <e v="#VALUE!"/>
  </r>
  <r>
    <x v="2"/>
    <x v="89"/>
    <x v="0"/>
    <n v="12"/>
    <n v="11"/>
    <n v="3"/>
    <n v="248"/>
    <n v="52"/>
    <n v="31"/>
    <n v="183"/>
    <n v="135.51"/>
    <n v="0"/>
    <n v="2"/>
    <n v="1"/>
    <n v="17"/>
    <n v="9"/>
    <s v="-"/>
    <s v="-"/>
    <s v="-"/>
    <s v="-"/>
    <s v="-"/>
    <s v="-"/>
    <s v="-"/>
    <s v="-"/>
    <s v="-"/>
    <s v="-"/>
    <s v="-"/>
    <n v="7"/>
    <n v="0"/>
    <n v="13"/>
    <e v="#VALUE!"/>
  </r>
  <r>
    <x v="2"/>
    <x v="89"/>
    <x v="1"/>
    <n v="14"/>
    <n v="13"/>
    <n v="5"/>
    <n v="396"/>
    <s v="81*"/>
    <n v="49.5"/>
    <n v="308"/>
    <n v="128.57"/>
    <n v="0"/>
    <n v="2"/>
    <n v="0"/>
    <n v="28"/>
    <n v="12"/>
    <s v="-"/>
    <s v="-"/>
    <s v="-"/>
    <s v="-"/>
    <s v="-"/>
    <s v="-"/>
    <s v="-"/>
    <s v="-"/>
    <s v="-"/>
    <s v="-"/>
    <s v="-"/>
    <n v="8"/>
    <n v="0"/>
    <n v="9"/>
    <e v="#VALUE!"/>
  </r>
  <r>
    <x v="2"/>
    <x v="90"/>
    <x v="0"/>
    <n v="12"/>
    <n v="8"/>
    <n v="1"/>
    <n v="188"/>
    <s v="39*"/>
    <n v="26.85"/>
    <n v="114"/>
    <n v="164.91"/>
    <n v="0"/>
    <n v="0"/>
    <n v="0"/>
    <n v="10"/>
    <n v="15"/>
    <n v="12"/>
    <n v="36.299999999999997"/>
    <n v="0"/>
    <n v="291"/>
    <n v="15"/>
    <d v="2020-04-01T00:00:00"/>
    <n v="19.399999999999999"/>
    <n v="7.97"/>
    <n v="14.6"/>
    <n v="1"/>
    <n v="0"/>
    <n v="2"/>
    <n v="0"/>
    <n v="4"/>
    <n v="19.399999999999999"/>
  </r>
  <r>
    <x v="2"/>
    <x v="90"/>
    <x v="2"/>
    <n v="16"/>
    <n v="14"/>
    <n v="3"/>
    <n v="316"/>
    <s v="88*"/>
    <n v="28.72"/>
    <n v="171"/>
    <n v="184.79"/>
    <n v="0"/>
    <n v="1"/>
    <n v="1"/>
    <n v="17"/>
    <n v="31"/>
    <n v="15"/>
    <n v="37.5"/>
    <n v="0"/>
    <n v="355"/>
    <n v="13"/>
    <d v="1931-03-01T00:00:00"/>
    <n v="27.3"/>
    <n v="9.3800000000000008"/>
    <n v="17.399999999999999"/>
    <n v="0"/>
    <n v="0"/>
    <n v="8"/>
    <n v="0"/>
    <n v="4"/>
    <n v="27.307692307692307"/>
  </r>
  <r>
    <x v="2"/>
    <x v="90"/>
    <x v="3"/>
    <n v="14"/>
    <n v="13"/>
    <n v="4"/>
    <n v="510"/>
    <s v="80*"/>
    <n v="56.66"/>
    <n v="249"/>
    <n v="204.81"/>
    <n v="0"/>
    <n v="4"/>
    <n v="1"/>
    <n v="31"/>
    <n v="52"/>
    <n v="12"/>
    <n v="30.1"/>
    <n v="0"/>
    <n v="287"/>
    <n v="11"/>
    <d v="2021-02-01T00:00:00"/>
    <n v="26.09"/>
    <n v="9.51"/>
    <n v="16.399999999999999"/>
    <n v="0"/>
    <n v="0"/>
    <n v="4"/>
    <n v="0"/>
    <n v="9"/>
    <n v="26.09090909090909"/>
  </r>
  <r>
    <x v="2"/>
    <x v="91"/>
    <x v="0"/>
    <n v="15"/>
    <n v="15"/>
    <n v="0"/>
    <n v="394"/>
    <n v="72"/>
    <n v="26.26"/>
    <n v="289"/>
    <n v="136.33000000000001"/>
    <n v="0"/>
    <n v="3"/>
    <n v="1"/>
    <n v="45"/>
    <n v="8"/>
    <s v="-"/>
    <s v="-"/>
    <s v="-"/>
    <s v="-"/>
    <s v="-"/>
    <s v="-"/>
    <s v="-"/>
    <s v="-"/>
    <s v="-"/>
    <s v="-"/>
    <s v="-"/>
    <n v="10"/>
    <n v="4"/>
    <n v="14"/>
    <e v="#VALUE!"/>
  </r>
  <r>
    <x v="2"/>
    <x v="91"/>
    <x v="1"/>
    <n v="14"/>
    <n v="13"/>
    <n v="0"/>
    <n v="388"/>
    <n v="87"/>
    <n v="29.84"/>
    <n v="235"/>
    <n v="165.1"/>
    <n v="0"/>
    <n v="5"/>
    <n v="1"/>
    <n v="36"/>
    <n v="21"/>
    <s v="-"/>
    <s v="-"/>
    <s v="-"/>
    <s v="-"/>
    <s v="-"/>
    <s v="-"/>
    <s v="-"/>
    <s v="-"/>
    <s v="-"/>
    <s v="-"/>
    <s v="-"/>
    <n v="9"/>
    <n v="6"/>
    <n v="7"/>
    <e v="#VALUE!"/>
  </r>
  <r>
    <x v="2"/>
    <x v="91"/>
    <x v="2"/>
    <n v="16"/>
    <n v="16"/>
    <n v="0"/>
    <n v="351"/>
    <n v="54"/>
    <n v="21.93"/>
    <n v="265"/>
    <n v="132.44999999999999"/>
    <n v="0"/>
    <n v="1"/>
    <n v="0"/>
    <n v="30"/>
    <n v="21"/>
    <s v="-"/>
    <s v="-"/>
    <s v="-"/>
    <s v="-"/>
    <s v="-"/>
    <s v="-"/>
    <s v="-"/>
    <s v="-"/>
    <s v="-"/>
    <s v="-"/>
    <s v="-"/>
    <n v="5"/>
    <n v="0"/>
    <n v="13"/>
    <e v="#VALUE!"/>
  </r>
  <r>
    <x v="2"/>
    <x v="91"/>
    <x v="3"/>
    <n v="12"/>
    <n v="11"/>
    <n v="2"/>
    <n v="282"/>
    <s v="67*"/>
    <n v="31.33"/>
    <n v="245"/>
    <n v="115.1"/>
    <n v="0"/>
    <n v="1"/>
    <n v="1"/>
    <n v="28"/>
    <n v="10"/>
    <s v="-"/>
    <s v="-"/>
    <s v="-"/>
    <s v="-"/>
    <s v="-"/>
    <s v="-"/>
    <s v="-"/>
    <s v="-"/>
    <s v="-"/>
    <s v="-"/>
    <s v="-"/>
    <n v="4"/>
    <n v="0"/>
    <n v="16"/>
    <e v="#VALUE!"/>
  </r>
  <r>
    <x v="2"/>
    <x v="92"/>
    <x v="0"/>
    <n v="15"/>
    <n v="11"/>
    <n v="4"/>
    <n v="182"/>
    <n v="60"/>
    <n v="26"/>
    <n v="143"/>
    <n v="127.27"/>
    <n v="0"/>
    <n v="1"/>
    <n v="0"/>
    <n v="18"/>
    <n v="5"/>
    <s v="-"/>
    <s v="-"/>
    <s v="-"/>
    <s v="-"/>
    <s v="-"/>
    <s v="-"/>
    <s v="-"/>
    <s v="-"/>
    <s v="-"/>
    <s v="-"/>
    <s v="-"/>
    <n v="6"/>
    <n v="0"/>
    <n v="7"/>
    <e v="#VALUE!"/>
  </r>
  <r>
    <x v="2"/>
    <x v="92"/>
    <x v="1"/>
    <n v="10"/>
    <n v="7"/>
    <n v="1"/>
    <n v="105"/>
    <n v="31"/>
    <n v="17.5"/>
    <n v="88"/>
    <n v="119.31"/>
    <n v="0"/>
    <n v="0"/>
    <n v="0"/>
    <n v="8"/>
    <n v="3"/>
    <s v="-"/>
    <s v="-"/>
    <s v="-"/>
    <s v="-"/>
    <s v="-"/>
    <s v="-"/>
    <s v="-"/>
    <s v="-"/>
    <s v="-"/>
    <s v="-"/>
    <s v="-"/>
    <n v="5"/>
    <n v="0"/>
    <n v="18"/>
    <e v="#VALUE!"/>
  </r>
  <r>
    <x v="2"/>
    <x v="93"/>
    <x v="0"/>
    <n v="2"/>
    <n v="2"/>
    <n v="1"/>
    <n v="25"/>
    <n v="15"/>
    <n v="25"/>
    <n v="22"/>
    <n v="113.63"/>
    <n v="0"/>
    <n v="0"/>
    <n v="0"/>
    <n v="0"/>
    <n v="1"/>
    <s v="-"/>
    <s v="-"/>
    <s v="-"/>
    <s v="-"/>
    <s v="-"/>
    <s v="-"/>
    <s v="-"/>
    <s v="-"/>
    <s v="-"/>
    <s v="-"/>
    <s v="-"/>
    <n v="1"/>
    <n v="0"/>
    <n v="14"/>
    <e v="#VALUE!"/>
  </r>
  <r>
    <x v="2"/>
    <x v="93"/>
    <x v="1"/>
    <n v="7"/>
    <n v="7"/>
    <n v="1"/>
    <n v="295"/>
    <s v="93*"/>
    <n v="49.16"/>
    <n v="163"/>
    <n v="180.98"/>
    <n v="0"/>
    <n v="3"/>
    <n v="0"/>
    <n v="25"/>
    <n v="19"/>
    <s v="-"/>
    <s v="-"/>
    <s v="-"/>
    <s v="-"/>
    <s v="-"/>
    <s v="-"/>
    <s v="-"/>
    <s v="-"/>
    <s v="-"/>
    <s v="-"/>
    <s v="-"/>
    <n v="2"/>
    <n v="0"/>
    <n v="16"/>
    <e v="#VALUE!"/>
  </r>
  <r>
    <x v="2"/>
    <x v="93"/>
    <x v="2"/>
    <n v="16"/>
    <n v="16"/>
    <n v="1"/>
    <n v="491"/>
    <n v="74"/>
    <n v="32.729999999999997"/>
    <n v="377"/>
    <n v="130.22999999999999"/>
    <n v="0"/>
    <n v="3"/>
    <n v="1"/>
    <n v="56"/>
    <n v="18"/>
    <s v="-"/>
    <s v="-"/>
    <s v="-"/>
    <s v="-"/>
    <s v="-"/>
    <s v="-"/>
    <s v="-"/>
    <s v="-"/>
    <s v="-"/>
    <s v="-"/>
    <s v="-"/>
    <n v="3"/>
    <n v="0"/>
    <n v="17"/>
    <e v="#VALUE!"/>
  </r>
  <r>
    <x v="2"/>
    <x v="93"/>
    <x v="3"/>
    <n v="13"/>
    <n v="13"/>
    <n v="0"/>
    <n v="405"/>
    <n v="82"/>
    <n v="31.15"/>
    <n v="290"/>
    <n v="139.65"/>
    <n v="0"/>
    <n v="4"/>
    <n v="2"/>
    <n v="41"/>
    <n v="22"/>
    <s v="-"/>
    <s v="-"/>
    <s v="-"/>
    <s v="-"/>
    <s v="-"/>
    <s v="-"/>
    <s v="-"/>
    <s v="-"/>
    <s v="-"/>
    <s v="-"/>
    <s v="-"/>
    <n v="1"/>
    <n v="0"/>
    <n v="15"/>
    <e v="#VALUE!"/>
  </r>
  <r>
    <x v="2"/>
    <x v="94"/>
    <x v="0"/>
    <n v="10"/>
    <n v="7"/>
    <n v="2"/>
    <n v="114"/>
    <s v="66*"/>
    <n v="22.8"/>
    <n v="106"/>
    <n v="107.54"/>
    <n v="0"/>
    <n v="1"/>
    <n v="0"/>
    <n v="7"/>
    <n v="5"/>
    <n v="9"/>
    <n v="31"/>
    <n v="0"/>
    <n v="243"/>
    <n v="5"/>
    <d v="2014-01-01T00:00:00"/>
    <n v="48.6"/>
    <n v="7.83"/>
    <n v="37.200000000000003"/>
    <n v="0"/>
    <n v="0"/>
    <n v="4"/>
    <n v="0"/>
    <n v="13"/>
    <n v="48.6"/>
  </r>
  <r>
    <x v="2"/>
    <x v="94"/>
    <x v="1"/>
    <n v="1"/>
    <n v="1"/>
    <n v="1"/>
    <n v="1"/>
    <s v="1*"/>
    <s v="-"/>
    <n v="1"/>
    <n v="100"/>
    <n v="0"/>
    <n v="0"/>
    <n v="0"/>
    <n v="0"/>
    <n v="0"/>
    <n v="1"/>
    <n v="3"/>
    <n v="0"/>
    <n v="31"/>
    <n v="0"/>
    <s v="-"/>
    <s v="-"/>
    <n v="10.33"/>
    <s v="-"/>
    <n v="0"/>
    <n v="0"/>
    <n v="0"/>
    <n v="0"/>
    <n v="15"/>
    <e v="#DIV/0!"/>
  </r>
  <r>
    <x v="2"/>
    <x v="20"/>
    <x v="0"/>
    <n v="4"/>
    <n v="3"/>
    <n v="0"/>
    <n v="30"/>
    <n v="16"/>
    <n v="10"/>
    <n v="30"/>
    <n v="100"/>
    <n v="0"/>
    <n v="0"/>
    <n v="0"/>
    <n v="3"/>
    <n v="0"/>
    <n v="2"/>
    <n v="2"/>
    <n v="0"/>
    <n v="15"/>
    <n v="0"/>
    <s v="-"/>
    <s v="-"/>
    <n v="7.5"/>
    <s v="-"/>
    <n v="0"/>
    <n v="0"/>
    <n v="2"/>
    <n v="0"/>
    <n v="4"/>
    <e v="#DIV/0!"/>
  </r>
  <r>
    <x v="2"/>
    <x v="95"/>
    <x v="0"/>
    <n v="12"/>
    <n v="3"/>
    <n v="0"/>
    <n v="27"/>
    <n v="11"/>
    <n v="9"/>
    <n v="26"/>
    <n v="103.84"/>
    <n v="0"/>
    <n v="0"/>
    <n v="0"/>
    <n v="4"/>
    <n v="0"/>
    <n v="11"/>
    <n v="35.200000000000003"/>
    <n v="0"/>
    <n v="273"/>
    <n v="11"/>
    <d v="2021-02-01T00:00:00"/>
    <n v="24.81"/>
    <n v="7.72"/>
    <n v="19.2"/>
    <n v="0"/>
    <n v="0"/>
    <n v="3"/>
    <n v="0"/>
    <n v="12"/>
    <n v="24.818181818181817"/>
  </r>
  <r>
    <x v="2"/>
    <x v="95"/>
    <x v="1"/>
    <n v="6"/>
    <n v="1"/>
    <n v="0"/>
    <n v="2"/>
    <n v="2"/>
    <n v="2"/>
    <n v="6"/>
    <n v="33.33"/>
    <n v="0"/>
    <n v="0"/>
    <n v="0"/>
    <n v="0"/>
    <n v="0"/>
    <n v="6"/>
    <n v="20"/>
    <n v="0"/>
    <n v="179"/>
    <n v="6"/>
    <d v="1934-02-01T00:00:00"/>
    <n v="29.83"/>
    <n v="8.9499999999999993"/>
    <n v="20"/>
    <n v="0"/>
    <n v="0"/>
    <n v="1"/>
    <n v="0"/>
    <n v="7"/>
    <n v="29.833333333333332"/>
  </r>
  <r>
    <x v="2"/>
    <x v="95"/>
    <x v="2"/>
    <n v="15"/>
    <n v="7"/>
    <n v="3"/>
    <n v="27"/>
    <n v="12"/>
    <n v="6.75"/>
    <n v="34"/>
    <n v="79.41"/>
    <n v="0"/>
    <n v="0"/>
    <n v="1"/>
    <n v="1"/>
    <n v="1"/>
    <n v="15"/>
    <n v="49"/>
    <n v="0"/>
    <n v="412"/>
    <n v="14"/>
    <d v="1948-03-01T00:00:00"/>
    <n v="29.42"/>
    <n v="8.4"/>
    <n v="21"/>
    <n v="0"/>
    <n v="0"/>
    <n v="4"/>
    <n v="0"/>
    <n v="9"/>
    <n v="29.428571428571427"/>
  </r>
  <r>
    <x v="2"/>
    <x v="95"/>
    <x v="3"/>
    <n v="13"/>
    <n v="5"/>
    <n v="2"/>
    <n v="42"/>
    <s v="14*"/>
    <n v="14"/>
    <n v="37"/>
    <n v="113.51"/>
    <n v="0"/>
    <n v="0"/>
    <n v="0"/>
    <n v="4"/>
    <n v="2"/>
    <n v="13"/>
    <n v="44.3"/>
    <n v="0"/>
    <n v="399"/>
    <n v="10"/>
    <d v="2020-03-01T00:00:00"/>
    <n v="39.9"/>
    <n v="8.9600000000000009"/>
    <n v="26.7"/>
    <n v="0"/>
    <n v="0"/>
    <n v="5"/>
    <n v="0"/>
    <n v="18"/>
    <n v="39.9"/>
  </r>
  <r>
    <x v="2"/>
    <x v="96"/>
    <x v="0"/>
    <n v="9"/>
    <n v="2"/>
    <n v="1"/>
    <n v="9"/>
    <s v="7*"/>
    <n v="9"/>
    <n v="5"/>
    <n v="180"/>
    <n v="0"/>
    <n v="0"/>
    <n v="0"/>
    <n v="0"/>
    <n v="1"/>
    <n v="9"/>
    <n v="26"/>
    <n v="0"/>
    <n v="234"/>
    <n v="10"/>
    <d v="2028-03-01T00:00:00"/>
    <n v="23.4"/>
    <n v="9"/>
    <n v="15.6"/>
    <n v="0"/>
    <n v="0"/>
    <n v="1"/>
    <n v="0"/>
    <n v="9"/>
    <n v="23.4"/>
  </r>
  <r>
    <x v="2"/>
    <x v="96"/>
    <x v="1"/>
    <n v="14"/>
    <n v="4"/>
    <n v="4"/>
    <n v="10"/>
    <s v="4*"/>
    <s v="-"/>
    <n v="13"/>
    <n v="76.92"/>
    <n v="0"/>
    <n v="0"/>
    <n v="0"/>
    <n v="0"/>
    <n v="0"/>
    <n v="14"/>
    <n v="48.3"/>
    <n v="0"/>
    <n v="410"/>
    <n v="17"/>
    <d v="1933-04-01T00:00:00"/>
    <n v="24.11"/>
    <n v="8.4499999999999993"/>
    <n v="17.100000000000001"/>
    <n v="1"/>
    <n v="0"/>
    <n v="4"/>
    <n v="0"/>
    <n v="18"/>
    <n v="24.117647058823529"/>
  </r>
  <r>
    <x v="2"/>
    <x v="97"/>
    <x v="0"/>
    <n v="4"/>
    <n v="3"/>
    <n v="0"/>
    <n v="24"/>
    <n v="10"/>
    <n v="8"/>
    <n v="24"/>
    <n v="100"/>
    <n v="0"/>
    <n v="0"/>
    <n v="0"/>
    <n v="1"/>
    <n v="1"/>
    <n v="3"/>
    <n v="6"/>
    <n v="0"/>
    <n v="59"/>
    <n v="1"/>
    <d v="2020-01-01T00:00:00"/>
    <n v="59"/>
    <n v="9.83"/>
    <n v="36"/>
    <n v="0"/>
    <n v="0"/>
    <n v="0"/>
    <n v="0"/>
    <n v="16"/>
    <n v="59"/>
  </r>
  <r>
    <x v="2"/>
    <x v="98"/>
    <x v="0"/>
    <n v="11"/>
    <n v="4"/>
    <n v="3"/>
    <n v="7"/>
    <n v="4"/>
    <n v="7"/>
    <n v="13"/>
    <n v="53.84"/>
    <n v="0"/>
    <n v="0"/>
    <n v="0"/>
    <n v="0"/>
    <n v="0"/>
    <n v="11"/>
    <n v="42.4"/>
    <n v="0"/>
    <n v="304"/>
    <n v="11"/>
    <d v="2026-03-01T00:00:00"/>
    <n v="27.63"/>
    <n v="7.12"/>
    <n v="23.2"/>
    <n v="0"/>
    <n v="0"/>
    <n v="2"/>
    <n v="0"/>
    <n v="18"/>
    <n v="27.636363636363637"/>
  </r>
  <r>
    <x v="2"/>
    <x v="98"/>
    <x v="1"/>
    <n v="16"/>
    <n v="14"/>
    <n v="1"/>
    <n v="224"/>
    <n v="54"/>
    <n v="17.23"/>
    <n v="130"/>
    <n v="172.3"/>
    <n v="0"/>
    <n v="1"/>
    <n v="2"/>
    <n v="34"/>
    <n v="10"/>
    <n v="15"/>
    <n v="59"/>
    <n v="0"/>
    <n v="412"/>
    <n v="10"/>
    <d v="2029-02-01T00:00:00"/>
    <n v="41.2"/>
    <n v="6.98"/>
    <n v="35.4"/>
    <n v="0"/>
    <n v="0"/>
    <n v="4"/>
    <n v="0"/>
    <n v="7"/>
    <n v="41.2"/>
  </r>
  <r>
    <x v="2"/>
    <x v="98"/>
    <x v="2"/>
    <n v="16"/>
    <n v="16"/>
    <n v="0"/>
    <n v="357"/>
    <n v="75"/>
    <n v="22.31"/>
    <n v="188"/>
    <n v="189.89"/>
    <n v="0"/>
    <n v="2"/>
    <n v="0"/>
    <n v="40"/>
    <n v="23"/>
    <n v="16"/>
    <n v="61"/>
    <n v="0"/>
    <n v="467"/>
    <n v="17"/>
    <d v="2018-03-01T00:00:00"/>
    <n v="27.47"/>
    <n v="7.65"/>
    <n v="21.5"/>
    <n v="0"/>
    <n v="0"/>
    <n v="1"/>
    <n v="0"/>
    <n v="9"/>
    <n v="27.470588235294116"/>
  </r>
  <r>
    <x v="2"/>
    <x v="98"/>
    <x v="3"/>
    <n v="12"/>
    <n v="9"/>
    <n v="1"/>
    <n v="143"/>
    <n v="47"/>
    <n v="17.87"/>
    <n v="86"/>
    <n v="166.27"/>
    <n v="0"/>
    <n v="0"/>
    <n v="0"/>
    <n v="17"/>
    <n v="9"/>
    <n v="12"/>
    <n v="44.2"/>
    <n v="1"/>
    <n v="347"/>
    <n v="10"/>
    <d v="2019-02-01T00:00:00"/>
    <n v="34.700000000000003"/>
    <n v="7.82"/>
    <n v="26.6"/>
    <n v="0"/>
    <n v="0"/>
    <n v="0"/>
    <n v="0"/>
    <n v="15"/>
    <n v="34.700000000000003"/>
  </r>
  <r>
    <x v="2"/>
    <x v="99"/>
    <x v="0"/>
    <n v="4"/>
    <n v="4"/>
    <n v="0"/>
    <n v="22"/>
    <n v="13"/>
    <n v="5.5"/>
    <n v="19"/>
    <n v="115.78"/>
    <n v="0"/>
    <n v="0"/>
    <n v="1"/>
    <n v="2"/>
    <n v="1"/>
    <n v="4"/>
    <n v="13"/>
    <n v="0"/>
    <n v="103"/>
    <n v="2"/>
    <d v="1933-02-01T00:00:00"/>
    <n v="51.5"/>
    <n v="7.92"/>
    <n v="39"/>
    <n v="0"/>
    <n v="0"/>
    <n v="0"/>
    <n v="0"/>
    <n v="8"/>
    <n v="51.5"/>
  </r>
  <r>
    <x v="2"/>
    <x v="100"/>
    <x v="0"/>
    <n v="10"/>
    <n v="2"/>
    <n v="2"/>
    <n v="1"/>
    <s v="1*"/>
    <s v="-"/>
    <n v="1"/>
    <n v="100"/>
    <n v="0"/>
    <n v="0"/>
    <n v="0"/>
    <n v="0"/>
    <n v="0"/>
    <n v="10"/>
    <n v="35.299999999999997"/>
    <n v="0"/>
    <n v="297"/>
    <n v="10"/>
    <d v="2027-02-01T00:00:00"/>
    <n v="29.7"/>
    <n v="8.36"/>
    <n v="21.3"/>
    <n v="0"/>
    <n v="0"/>
    <n v="0"/>
    <n v="0"/>
    <n v="11"/>
    <n v="29.7"/>
  </r>
  <r>
    <x v="2"/>
    <x v="101"/>
    <x v="0"/>
    <n v="5"/>
    <n v="1"/>
    <n v="1"/>
    <n v="0"/>
    <s v="0*"/>
    <s v="-"/>
    <n v="0"/>
    <s v="-"/>
    <n v="0"/>
    <n v="0"/>
    <n v="0"/>
    <n v="0"/>
    <n v="0"/>
    <n v="5"/>
    <n v="16"/>
    <n v="1"/>
    <n v="142"/>
    <n v="4"/>
    <d v="2019-03-01T00:00:00"/>
    <n v="35.5"/>
    <n v="8.8699999999999992"/>
    <n v="24"/>
    <n v="0"/>
    <n v="0"/>
    <n v="3"/>
    <n v="0"/>
    <n v="6"/>
    <n v="35.5"/>
  </r>
  <r>
    <x v="2"/>
    <x v="102"/>
    <x v="0"/>
    <n v="2"/>
    <s v="-"/>
    <s v="-"/>
    <s v="-"/>
    <s v="-"/>
    <s v="-"/>
    <s v="-"/>
    <s v="-"/>
    <s v="-"/>
    <s v="-"/>
    <s v="-"/>
    <s v="-"/>
    <s v="-"/>
    <n v="2"/>
    <n v="6.4"/>
    <n v="1"/>
    <n v="37"/>
    <n v="2"/>
    <d v="2020-06-02T00:00:00"/>
    <n v="18.5"/>
    <n v="5.55"/>
    <n v="20"/>
    <n v="0"/>
    <n v="0"/>
    <n v="0"/>
    <n v="0"/>
    <n v="7"/>
    <n v="18.5"/>
  </r>
  <r>
    <x v="2"/>
    <x v="103"/>
    <x v="0"/>
    <n v="3"/>
    <s v="-"/>
    <s v="-"/>
    <s v="-"/>
    <s v="-"/>
    <s v="-"/>
    <s v="-"/>
    <s v="-"/>
    <s v="-"/>
    <s v="-"/>
    <s v="-"/>
    <s v="-"/>
    <s v="-"/>
    <n v="3"/>
    <n v="12"/>
    <n v="0"/>
    <n v="100"/>
    <n v="6"/>
    <d v="1935-03-01T00:00:00"/>
    <n v="16.66"/>
    <n v="8.33"/>
    <n v="12"/>
    <n v="0"/>
    <n v="0"/>
    <n v="1"/>
    <n v="0"/>
    <n v="5"/>
    <n v="16.666666666666668"/>
  </r>
  <r>
    <x v="2"/>
    <x v="103"/>
    <x v="1"/>
    <n v="12"/>
    <n v="2"/>
    <n v="0"/>
    <n v="20"/>
    <n v="16"/>
    <n v="10"/>
    <n v="22"/>
    <n v="90.9"/>
    <n v="0"/>
    <n v="0"/>
    <n v="0"/>
    <n v="2"/>
    <n v="0"/>
    <n v="11"/>
    <n v="41"/>
    <n v="0"/>
    <n v="340"/>
    <n v="12"/>
    <d v="2025-02-01T00:00:00"/>
    <n v="28.33"/>
    <n v="8.2899999999999991"/>
    <n v="20.5"/>
    <n v="0"/>
    <n v="0"/>
    <n v="1"/>
    <n v="0"/>
    <n v="7"/>
    <n v="28.333333333333332"/>
  </r>
  <r>
    <x v="2"/>
    <x v="103"/>
    <x v="2"/>
    <n v="16"/>
    <n v="3"/>
    <n v="2"/>
    <n v="12"/>
    <s v="7*"/>
    <n v="12"/>
    <n v="24"/>
    <n v="50"/>
    <n v="0"/>
    <n v="0"/>
    <n v="0"/>
    <n v="1"/>
    <n v="0"/>
    <n v="16"/>
    <n v="51.2"/>
    <n v="0"/>
    <n v="418"/>
    <n v="17"/>
    <d v="2020-04-01T00:00:00"/>
    <n v="24.58"/>
    <n v="8.14"/>
    <n v="18.100000000000001"/>
    <n v="1"/>
    <n v="0"/>
    <n v="6"/>
    <n v="0"/>
    <n v="10"/>
    <n v="24.588235294117649"/>
  </r>
  <r>
    <x v="2"/>
    <x v="103"/>
    <x v="3"/>
    <n v="9"/>
    <n v="4"/>
    <n v="2"/>
    <n v="12"/>
    <s v="10*"/>
    <n v="6"/>
    <n v="8"/>
    <n v="150"/>
    <n v="0"/>
    <n v="0"/>
    <n v="2"/>
    <n v="1"/>
    <n v="0"/>
    <n v="9"/>
    <n v="33"/>
    <n v="0"/>
    <n v="286"/>
    <n v="4"/>
    <d v="1941-02-01T00:00:00"/>
    <n v="71.5"/>
    <n v="8.66"/>
    <n v="49.5"/>
    <n v="0"/>
    <n v="0"/>
    <n v="3"/>
    <n v="0"/>
    <n v="7"/>
    <n v="71.5"/>
  </r>
  <r>
    <x v="2"/>
    <x v="61"/>
    <x v="0"/>
    <n v="4"/>
    <s v="-"/>
    <s v="-"/>
    <s v="-"/>
    <s v="-"/>
    <s v="-"/>
    <s v="-"/>
    <s v="-"/>
    <s v="-"/>
    <s v="-"/>
    <s v="-"/>
    <s v="-"/>
    <s v="-"/>
    <n v="4"/>
    <n v="11"/>
    <n v="0"/>
    <n v="98"/>
    <n v="3"/>
    <d v="2014-01-01T00:00:00"/>
    <n v="32.659999999999997"/>
    <n v="8.9"/>
    <n v="22"/>
    <n v="0"/>
    <n v="0"/>
    <n v="0"/>
    <n v="0"/>
    <n v="4"/>
    <n v="32.666666666666664"/>
  </r>
  <r>
    <x v="2"/>
    <x v="61"/>
    <x v="1"/>
    <n v="5"/>
    <n v="1"/>
    <n v="0"/>
    <n v="4"/>
    <n v="4"/>
    <n v="4"/>
    <n v="7"/>
    <n v="57.14"/>
    <n v="0"/>
    <n v="0"/>
    <n v="0"/>
    <n v="1"/>
    <n v="0"/>
    <n v="5"/>
    <n v="14"/>
    <n v="0"/>
    <n v="107"/>
    <n v="4"/>
    <d v="1937-03-01T00:00:00"/>
    <n v="26.75"/>
    <n v="7.64"/>
    <n v="21"/>
    <n v="0"/>
    <n v="0"/>
    <n v="1"/>
    <n v="0"/>
    <n v="16"/>
    <n v="26.75"/>
  </r>
  <r>
    <x v="2"/>
    <x v="104"/>
    <x v="0"/>
    <n v="1"/>
    <s v="-"/>
    <s v="-"/>
    <s v="-"/>
    <s v="-"/>
    <s v="-"/>
    <s v="-"/>
    <s v="-"/>
    <s v="-"/>
    <s v="-"/>
    <s v="-"/>
    <s v="-"/>
    <s v="-"/>
    <n v="1"/>
    <n v="3"/>
    <n v="0"/>
    <n v="49"/>
    <n v="0"/>
    <s v="-"/>
    <s v="-"/>
    <n v="16.329999999999998"/>
    <s v="-"/>
    <n v="0"/>
    <n v="0"/>
    <n v="0"/>
    <n v="0"/>
    <n v="13"/>
    <e v="#DIV/0!"/>
  </r>
  <r>
    <x v="2"/>
    <x v="105"/>
    <x v="2"/>
    <n v="15"/>
    <n v="15"/>
    <n v="2"/>
    <n v="304"/>
    <n v="59"/>
    <n v="23.38"/>
    <n v="232"/>
    <n v="131.03"/>
    <n v="0"/>
    <n v="1"/>
    <n v="0"/>
    <n v="26"/>
    <n v="14"/>
    <n v="5"/>
    <n v="6.1"/>
    <n v="0"/>
    <n v="44"/>
    <n v="4"/>
    <d v="2020-11-02T00:00:00"/>
    <n v="11"/>
    <n v="7.13"/>
    <n v="9.1999999999999993"/>
    <n v="0"/>
    <n v="0"/>
    <n v="2"/>
    <n v="0"/>
    <n v="16"/>
    <n v="11"/>
  </r>
  <r>
    <x v="2"/>
    <x v="105"/>
    <x v="3"/>
    <n v="14"/>
    <n v="11"/>
    <n v="1"/>
    <n v="344"/>
    <s v="85*"/>
    <n v="34.4"/>
    <n v="235"/>
    <n v="146.38"/>
    <n v="0"/>
    <n v="3"/>
    <n v="1"/>
    <n v="27"/>
    <n v="21"/>
    <n v="6"/>
    <n v="8"/>
    <n v="0"/>
    <n v="72"/>
    <n v="3"/>
    <d v="2020-08-01T00:00:00"/>
    <n v="24"/>
    <n v="9"/>
    <n v="16"/>
    <n v="0"/>
    <n v="0"/>
    <n v="3"/>
    <n v="0"/>
    <n v="8"/>
    <n v="24"/>
  </r>
  <r>
    <x v="2"/>
    <x v="106"/>
    <x v="2"/>
    <n v="2"/>
    <n v="1"/>
    <n v="1"/>
    <n v="6"/>
    <s v="6*"/>
    <s v="-"/>
    <n v="3"/>
    <n v="200"/>
    <n v="0"/>
    <n v="0"/>
    <n v="0"/>
    <n v="1"/>
    <n v="0"/>
    <n v="2"/>
    <n v="3.5"/>
    <n v="0"/>
    <n v="65"/>
    <n v="2"/>
    <d v="1930-02-01T00:00:00"/>
    <n v="32.5"/>
    <n v="16.95"/>
    <n v="11.5"/>
    <n v="0"/>
    <n v="0"/>
    <n v="2"/>
    <n v="0"/>
    <n v="16"/>
    <n v="32.5"/>
  </r>
  <r>
    <x v="2"/>
    <x v="24"/>
    <x v="1"/>
    <n v="6"/>
    <n v="1"/>
    <n v="1"/>
    <n v="5"/>
    <s v="5*"/>
    <s v="-"/>
    <n v="8"/>
    <n v="62.5"/>
    <n v="0"/>
    <n v="0"/>
    <n v="0"/>
    <n v="0"/>
    <n v="0"/>
    <n v="6"/>
    <n v="23.5"/>
    <n v="0"/>
    <n v="216"/>
    <n v="5"/>
    <d v="1930-02-01T00:00:00"/>
    <n v="43.2"/>
    <n v="9.06"/>
    <n v="28.6"/>
    <n v="0"/>
    <n v="0"/>
    <n v="0"/>
    <n v="0"/>
    <n v="14"/>
    <n v="43.2"/>
  </r>
  <r>
    <x v="2"/>
    <x v="107"/>
    <x v="2"/>
    <n v="16"/>
    <n v="16"/>
    <n v="6"/>
    <n v="498"/>
    <n v="52"/>
    <n v="49.8"/>
    <n v="337"/>
    <n v="147.77000000000001"/>
    <n v="0"/>
    <n v="2"/>
    <n v="0"/>
    <n v="49"/>
    <n v="16"/>
    <s v="-"/>
    <s v="-"/>
    <s v="-"/>
    <s v="-"/>
    <s v="-"/>
    <s v="-"/>
    <s v="-"/>
    <s v="-"/>
    <s v="-"/>
    <s v="-"/>
    <s v="-"/>
    <n v="14"/>
    <n v="4"/>
    <n v="15"/>
    <e v="#VALUE!"/>
  </r>
  <r>
    <x v="2"/>
    <x v="107"/>
    <x v="3"/>
    <n v="14"/>
    <n v="13"/>
    <n v="5"/>
    <n v="253"/>
    <s v="97*"/>
    <n v="31.62"/>
    <n v="173"/>
    <n v="146.24"/>
    <n v="0"/>
    <n v="2"/>
    <n v="0"/>
    <n v="22"/>
    <n v="14"/>
    <s v="-"/>
    <s v="-"/>
    <s v="-"/>
    <s v="-"/>
    <s v="-"/>
    <s v="-"/>
    <s v="-"/>
    <s v="-"/>
    <s v="-"/>
    <s v="-"/>
    <s v="-"/>
    <n v="7"/>
    <n v="0"/>
    <n v="8"/>
    <e v="#VALUE!"/>
  </r>
  <r>
    <x v="2"/>
    <x v="108"/>
    <x v="1"/>
    <n v="2"/>
    <n v="2"/>
    <n v="1"/>
    <n v="33"/>
    <n v="28"/>
    <n v="33"/>
    <n v="39"/>
    <n v="84.61"/>
    <n v="0"/>
    <n v="0"/>
    <n v="0"/>
    <n v="3"/>
    <n v="0"/>
    <s v="-"/>
    <s v="-"/>
    <s v="-"/>
    <s v="-"/>
    <s v="-"/>
    <s v="-"/>
    <s v="-"/>
    <s v="-"/>
    <s v="-"/>
    <s v="-"/>
    <s v="-"/>
    <n v="0"/>
    <n v="0"/>
    <n v="13"/>
    <e v="#VALUE!"/>
  </r>
  <r>
    <x v="2"/>
    <x v="109"/>
    <x v="1"/>
    <n v="4"/>
    <n v="3"/>
    <n v="1"/>
    <n v="38"/>
    <n v="16"/>
    <n v="19"/>
    <n v="31"/>
    <n v="122.58"/>
    <n v="0"/>
    <n v="0"/>
    <n v="0"/>
    <n v="5"/>
    <n v="0"/>
    <s v="-"/>
    <s v="-"/>
    <s v="-"/>
    <s v="-"/>
    <s v="-"/>
    <s v="-"/>
    <s v="-"/>
    <s v="-"/>
    <s v="-"/>
    <s v="-"/>
    <s v="-"/>
    <n v="2"/>
    <n v="0"/>
    <n v="10"/>
    <e v="#VALUE!"/>
  </r>
  <r>
    <x v="2"/>
    <x v="110"/>
    <x v="1"/>
    <n v="12"/>
    <n v="9"/>
    <n v="1"/>
    <n v="126"/>
    <n v="36"/>
    <n v="15.75"/>
    <n v="92"/>
    <n v="136.94999999999999"/>
    <n v="0"/>
    <n v="0"/>
    <n v="3"/>
    <n v="10"/>
    <n v="6"/>
    <n v="9"/>
    <n v="16"/>
    <n v="0"/>
    <n v="135"/>
    <n v="4"/>
    <d v="2020-04-03T00:00:00"/>
    <n v="33.75"/>
    <n v="8.43"/>
    <n v="24"/>
    <n v="0"/>
    <n v="0"/>
    <n v="2"/>
    <n v="0"/>
    <n v="5"/>
    <n v="33.75"/>
  </r>
  <r>
    <x v="2"/>
    <x v="111"/>
    <x v="1"/>
    <n v="13"/>
    <n v="7"/>
    <n v="3"/>
    <n v="46"/>
    <n v="18"/>
    <n v="11.5"/>
    <n v="47"/>
    <n v="97.87"/>
    <n v="0"/>
    <n v="0"/>
    <n v="0"/>
    <n v="4"/>
    <n v="1"/>
    <n v="13"/>
    <n v="44"/>
    <n v="0"/>
    <n v="386"/>
    <n v="17"/>
    <d v="2020-06-03T00:00:00"/>
    <n v="22.7"/>
    <n v="8.77"/>
    <n v="15.5"/>
    <n v="0"/>
    <n v="0"/>
    <n v="6"/>
    <n v="0"/>
    <n v="4"/>
    <n v="22.705882352941178"/>
  </r>
  <r>
    <x v="2"/>
    <x v="112"/>
    <x v="1"/>
    <n v="1"/>
    <n v="1"/>
    <n v="1"/>
    <n v="6"/>
    <s v="6*"/>
    <s v="-"/>
    <n v="5"/>
    <n v="120"/>
    <n v="0"/>
    <n v="0"/>
    <n v="0"/>
    <n v="1"/>
    <n v="0"/>
    <s v="-"/>
    <s v="-"/>
    <s v="-"/>
    <s v="-"/>
    <s v="-"/>
    <s v="-"/>
    <s v="-"/>
    <s v="-"/>
    <s v="-"/>
    <s v="-"/>
    <s v="-"/>
    <n v="0"/>
    <n v="0"/>
    <n v="15"/>
    <e v="#VALUE!"/>
  </r>
  <r>
    <x v="2"/>
    <x v="113"/>
    <x v="3"/>
    <n v="5"/>
    <s v="-"/>
    <s v="-"/>
    <s v="-"/>
    <s v="-"/>
    <s v="-"/>
    <s v="-"/>
    <s v="-"/>
    <s v="-"/>
    <s v="-"/>
    <s v="-"/>
    <s v="-"/>
    <s v="-"/>
    <n v="5"/>
    <n v="17"/>
    <n v="0"/>
    <n v="183"/>
    <n v="2"/>
    <d v="1938-01-01T00:00:00"/>
    <n v="91.5"/>
    <n v="10.76"/>
    <n v="51"/>
    <n v="0"/>
    <n v="0"/>
    <n v="0"/>
    <n v="0"/>
    <n v="17"/>
    <n v="91.5"/>
  </r>
  <r>
    <x v="2"/>
    <x v="114"/>
    <x v="2"/>
    <n v="13"/>
    <n v="11"/>
    <n v="5"/>
    <n v="203"/>
    <s v="57*"/>
    <n v="33.83"/>
    <n v="139"/>
    <n v="146.04"/>
    <n v="0"/>
    <n v="1"/>
    <n v="0"/>
    <n v="22"/>
    <n v="5"/>
    <s v="-"/>
    <s v="-"/>
    <s v="-"/>
    <s v="-"/>
    <s v="-"/>
    <s v="-"/>
    <s v="-"/>
    <s v="-"/>
    <s v="-"/>
    <s v="-"/>
    <s v="-"/>
    <n v="3"/>
    <n v="0"/>
    <n v="5"/>
    <e v="#VALUE!"/>
  </r>
  <r>
    <x v="2"/>
    <x v="114"/>
    <x v="3"/>
    <n v="14"/>
    <n v="13"/>
    <n v="4"/>
    <n v="296"/>
    <n v="76"/>
    <n v="32.880000000000003"/>
    <n v="238"/>
    <n v="124.36"/>
    <n v="0"/>
    <n v="3"/>
    <n v="0"/>
    <n v="21"/>
    <n v="10"/>
    <s v="-"/>
    <s v="-"/>
    <s v="-"/>
    <s v="-"/>
    <s v="-"/>
    <s v="-"/>
    <s v="-"/>
    <s v="-"/>
    <s v="-"/>
    <s v="-"/>
    <s v="-"/>
    <n v="7"/>
    <n v="0"/>
    <n v="7"/>
    <e v="#VALUE!"/>
  </r>
  <r>
    <x v="2"/>
    <x v="115"/>
    <x v="2"/>
    <n v="4"/>
    <n v="2"/>
    <n v="1"/>
    <n v="8"/>
    <s v="6*"/>
    <n v="8"/>
    <n v="6"/>
    <n v="133.33000000000001"/>
    <n v="0"/>
    <n v="0"/>
    <n v="0"/>
    <n v="0"/>
    <n v="1"/>
    <n v="3"/>
    <n v="7"/>
    <n v="0"/>
    <n v="89"/>
    <n v="2"/>
    <d v="2024-01-01T00:00:00"/>
    <n v="44.5"/>
    <n v="12.71"/>
    <n v="21"/>
    <n v="0"/>
    <n v="0"/>
    <n v="4"/>
    <n v="0"/>
    <n v="9"/>
    <n v="44.5"/>
  </r>
  <r>
    <x v="2"/>
    <x v="116"/>
    <x v="2"/>
    <n v="5"/>
    <n v="4"/>
    <n v="1"/>
    <n v="23"/>
    <n v="18"/>
    <n v="7.66"/>
    <n v="28"/>
    <n v="82.14"/>
    <n v="0"/>
    <n v="0"/>
    <n v="0"/>
    <n v="3"/>
    <n v="0"/>
    <n v="5"/>
    <n v="10.1"/>
    <n v="0"/>
    <n v="118"/>
    <n v="6"/>
    <d v="2019-02-01T00:00:00"/>
    <n v="19.66"/>
    <n v="11.6"/>
    <n v="10.1"/>
    <n v="0"/>
    <n v="0"/>
    <n v="1"/>
    <n v="0"/>
    <n v="13"/>
    <n v="19.666666666666668"/>
  </r>
  <r>
    <x v="2"/>
    <x v="117"/>
    <x v="2"/>
    <n v="4"/>
    <n v="4"/>
    <n v="0"/>
    <n v="29"/>
    <n v="16"/>
    <n v="7.25"/>
    <n v="31"/>
    <n v="93.54"/>
    <n v="0"/>
    <n v="0"/>
    <n v="0"/>
    <n v="4"/>
    <n v="0"/>
    <s v="-"/>
    <s v="-"/>
    <s v="-"/>
    <s v="-"/>
    <s v="-"/>
    <s v="-"/>
    <s v="-"/>
    <s v="-"/>
    <s v="-"/>
    <s v="-"/>
    <s v="-"/>
    <n v="4"/>
    <n v="0"/>
    <n v="18"/>
    <e v="#VALUE!"/>
  </r>
  <r>
    <x v="2"/>
    <x v="117"/>
    <x v="3"/>
    <n v="5"/>
    <n v="3"/>
    <n v="1"/>
    <n v="37"/>
    <n v="30"/>
    <n v="18.5"/>
    <n v="34"/>
    <n v="108.82"/>
    <n v="0"/>
    <n v="0"/>
    <n v="0"/>
    <n v="1"/>
    <n v="2"/>
    <s v="-"/>
    <s v="-"/>
    <s v="-"/>
    <s v="-"/>
    <s v="-"/>
    <s v="-"/>
    <s v="-"/>
    <s v="-"/>
    <s v="-"/>
    <s v="-"/>
    <s v="-"/>
    <n v="1"/>
    <n v="0"/>
    <n v="16"/>
    <e v="#VALUE!"/>
  </r>
  <r>
    <x v="2"/>
    <x v="118"/>
    <x v="2"/>
    <n v="9"/>
    <n v="4"/>
    <n v="1"/>
    <n v="13"/>
    <n v="7"/>
    <n v="4.33"/>
    <n v="15"/>
    <n v="86.66"/>
    <n v="0"/>
    <n v="0"/>
    <n v="1"/>
    <n v="1"/>
    <n v="0"/>
    <n v="9"/>
    <n v="28"/>
    <n v="0"/>
    <n v="270"/>
    <n v="5"/>
    <d v="2014-01-01T00:00:00"/>
    <n v="54"/>
    <n v="9.64"/>
    <n v="33.6"/>
    <n v="0"/>
    <n v="0"/>
    <n v="3"/>
    <n v="0"/>
    <n v="4"/>
    <n v="54"/>
  </r>
  <r>
    <x v="2"/>
    <x v="119"/>
    <x v="2"/>
    <n v="7"/>
    <n v="2"/>
    <n v="2"/>
    <n v="1"/>
    <s v="1*"/>
    <s v="-"/>
    <n v="5"/>
    <n v="20"/>
    <n v="0"/>
    <n v="0"/>
    <n v="0"/>
    <n v="0"/>
    <n v="0"/>
    <n v="7"/>
    <n v="28"/>
    <n v="0"/>
    <n v="260"/>
    <n v="10"/>
    <d v="1930-04-01T00:00:00"/>
    <n v="26"/>
    <n v="9.2799999999999994"/>
    <n v="16.8"/>
    <n v="1"/>
    <n v="0"/>
    <n v="1"/>
    <n v="0"/>
    <n v="3"/>
    <n v="26"/>
  </r>
  <r>
    <x v="2"/>
    <x v="119"/>
    <x v="3"/>
    <n v="11"/>
    <n v="1"/>
    <n v="0"/>
    <n v="0"/>
    <n v="0"/>
    <n v="0"/>
    <n v="2"/>
    <n v="0"/>
    <n v="0"/>
    <n v="0"/>
    <n v="1"/>
    <n v="0"/>
    <n v="0"/>
    <n v="11"/>
    <n v="40.200000000000003"/>
    <n v="0"/>
    <n v="377"/>
    <n v="4"/>
    <d v="2022-01-01T00:00:00"/>
    <n v="94.25"/>
    <n v="9.34"/>
    <n v="60.5"/>
    <n v="0"/>
    <n v="0"/>
    <n v="2"/>
    <n v="0"/>
    <n v="14"/>
    <n v="94.25"/>
  </r>
  <r>
    <x v="2"/>
    <x v="120"/>
    <x v="3"/>
    <n v="1"/>
    <n v="1"/>
    <n v="0"/>
    <n v="0"/>
    <n v="0"/>
    <n v="0"/>
    <n v="1"/>
    <n v="0"/>
    <n v="0"/>
    <n v="0"/>
    <n v="1"/>
    <n v="0"/>
    <n v="0"/>
    <s v="-"/>
    <s v="-"/>
    <s v="-"/>
    <s v="-"/>
    <s v="-"/>
    <s v="-"/>
    <s v="-"/>
    <s v="-"/>
    <s v="-"/>
    <s v="-"/>
    <s v="-"/>
    <n v="0"/>
    <n v="0"/>
    <n v="18"/>
    <e v="#VALUE!"/>
  </r>
  <r>
    <x v="2"/>
    <x v="121"/>
    <x v="3"/>
    <n v="8"/>
    <n v="1"/>
    <n v="1"/>
    <n v="1"/>
    <s v="1*"/>
    <s v="-"/>
    <n v="5"/>
    <n v="20"/>
    <n v="0"/>
    <n v="0"/>
    <n v="0"/>
    <n v="0"/>
    <n v="0"/>
    <n v="8"/>
    <n v="27"/>
    <n v="0"/>
    <n v="238"/>
    <n v="7"/>
    <d v="2025-02-01T00:00:00"/>
    <n v="34"/>
    <n v="8.81"/>
    <n v="23.1"/>
    <n v="0"/>
    <n v="0"/>
    <n v="0"/>
    <n v="0"/>
    <n v="6"/>
    <n v="34"/>
  </r>
  <r>
    <x v="2"/>
    <x v="122"/>
    <x v="3"/>
    <n v="2"/>
    <n v="1"/>
    <n v="1"/>
    <n v="0"/>
    <s v="0*"/>
    <s v="-"/>
    <n v="1"/>
    <n v="0"/>
    <n v="0"/>
    <n v="0"/>
    <n v="0"/>
    <n v="0"/>
    <n v="0"/>
    <n v="2"/>
    <n v="5"/>
    <n v="0"/>
    <n v="57"/>
    <n v="1"/>
    <d v="2029-01-01T00:00:00"/>
    <n v="57"/>
    <n v="11.4"/>
    <n v="30"/>
    <n v="0"/>
    <n v="0"/>
    <n v="0"/>
    <n v="0"/>
    <n v="16"/>
    <n v="57"/>
  </r>
  <r>
    <x v="2"/>
    <x v="123"/>
    <x v="3"/>
    <n v="3"/>
    <s v="-"/>
    <s v="-"/>
    <s v="-"/>
    <s v="-"/>
    <s v="-"/>
    <s v="-"/>
    <s v="-"/>
    <s v="-"/>
    <s v="-"/>
    <s v="-"/>
    <s v="-"/>
    <s v="-"/>
    <n v="3"/>
    <n v="12"/>
    <n v="0"/>
    <n v="85"/>
    <n v="2"/>
    <d v="1931-02-01T00:00:00"/>
    <n v="42.5"/>
    <n v="7.08"/>
    <n v="36"/>
    <n v="0"/>
    <n v="0"/>
    <n v="1"/>
    <n v="0"/>
    <n v="5"/>
    <n v="42.5"/>
  </r>
  <r>
    <x v="3"/>
    <x v="1"/>
    <x v="2"/>
    <n v="6"/>
    <n v="4"/>
    <n v="3"/>
    <n v="36"/>
    <n v="23"/>
    <n v="36"/>
    <n v="40"/>
    <n v="90"/>
    <n v="0"/>
    <n v="0"/>
    <n v="0"/>
    <n v="3"/>
    <n v="1"/>
    <n v="2"/>
    <n v="3"/>
    <n v="0"/>
    <n v="36"/>
    <n v="0"/>
    <s v="-"/>
    <s v="-"/>
    <n v="12"/>
    <s v="-"/>
    <n v="0"/>
    <n v="0"/>
    <n v="2"/>
    <n v="0"/>
    <n v="3"/>
    <e v="#DIV/0!"/>
  </r>
  <r>
    <x v="3"/>
    <x v="2"/>
    <x v="3"/>
    <n v="16"/>
    <n v="16"/>
    <n v="1"/>
    <n v="529"/>
    <n v="81"/>
    <n v="35.26"/>
    <n v="398"/>
    <n v="132.91"/>
    <n v="0"/>
    <n v="4"/>
    <n v="1"/>
    <n v="45"/>
    <n v="25"/>
    <s v="-"/>
    <s v="-"/>
    <s v="-"/>
    <s v="-"/>
    <s v="-"/>
    <s v="-"/>
    <s v="-"/>
    <s v="-"/>
    <s v="-"/>
    <s v="-"/>
    <s v="-"/>
    <n v="17"/>
    <n v="2"/>
    <n v="13"/>
    <e v="#VALUE!"/>
  </r>
  <r>
    <x v="3"/>
    <x v="13"/>
    <x v="3"/>
    <n v="2"/>
    <s v="-"/>
    <s v="-"/>
    <s v="-"/>
    <s v="-"/>
    <s v="-"/>
    <s v="-"/>
    <s v="-"/>
    <s v="-"/>
    <s v="-"/>
    <s v="-"/>
    <s v="-"/>
    <s v="-"/>
    <n v="2"/>
    <n v="7"/>
    <n v="0"/>
    <n v="50"/>
    <n v="1"/>
    <d v="2025-01-01T00:00:00"/>
    <n v="50"/>
    <n v="7.14"/>
    <n v="42"/>
    <n v="0"/>
    <n v="0"/>
    <n v="2"/>
    <n v="0"/>
    <n v="11"/>
    <n v="50"/>
  </r>
  <r>
    <x v="3"/>
    <x v="56"/>
    <x v="1"/>
    <n v="5"/>
    <n v="3"/>
    <n v="3"/>
    <n v="20"/>
    <s v="13*"/>
    <s v="-"/>
    <n v="17"/>
    <n v="117.64"/>
    <n v="0"/>
    <n v="0"/>
    <n v="0"/>
    <n v="1"/>
    <n v="1"/>
    <n v="5"/>
    <n v="20"/>
    <n v="1"/>
    <n v="141"/>
    <n v="7"/>
    <d v="2026-03-01T00:00:00"/>
    <n v="20.14"/>
    <n v="7.05"/>
    <n v="17.100000000000001"/>
    <n v="0"/>
    <n v="0"/>
    <n v="1"/>
    <n v="0"/>
    <n v="11"/>
    <n v="20.142857142857142"/>
  </r>
  <r>
    <x v="3"/>
    <x v="92"/>
    <x v="2"/>
    <n v="14"/>
    <n v="14"/>
    <n v="0"/>
    <n v="512"/>
    <n v="72"/>
    <n v="36.57"/>
    <n v="384"/>
    <n v="133.33000000000001"/>
    <n v="0"/>
    <n v="4"/>
    <n v="1"/>
    <n v="61"/>
    <n v="16"/>
    <s v="-"/>
    <s v="-"/>
    <s v="-"/>
    <s v="-"/>
    <s v="-"/>
    <s v="-"/>
    <s v="-"/>
    <s v="-"/>
    <s v="-"/>
    <s v="-"/>
    <s v="-"/>
    <n v="8"/>
    <n v="0"/>
    <n v="17"/>
    <e v="#VALUE!"/>
  </r>
  <r>
    <x v="3"/>
    <x v="92"/>
    <x v="3"/>
    <n v="16"/>
    <n v="15"/>
    <n v="2"/>
    <n v="424"/>
    <s v="71*"/>
    <n v="32.61"/>
    <n v="324"/>
    <n v="130.86000000000001"/>
    <n v="0"/>
    <n v="2"/>
    <n v="0"/>
    <n v="45"/>
    <n v="10"/>
    <s v="-"/>
    <s v="-"/>
    <s v="-"/>
    <s v="-"/>
    <s v="-"/>
    <s v="-"/>
    <s v="-"/>
    <s v="-"/>
    <s v="-"/>
    <s v="-"/>
    <s v="-"/>
    <n v="9"/>
    <n v="0"/>
    <n v="5"/>
    <e v="#VALUE!"/>
  </r>
  <r>
    <x v="3"/>
    <x v="124"/>
    <x v="0"/>
    <n v="14"/>
    <n v="14"/>
    <n v="3"/>
    <n v="489"/>
    <s v="85*"/>
    <n v="44.45"/>
    <n v="368"/>
    <n v="132.88"/>
    <n v="0"/>
    <n v="5"/>
    <n v="1"/>
    <n v="49"/>
    <n v="16"/>
    <s v="-"/>
    <s v="-"/>
    <s v="-"/>
    <s v="-"/>
    <s v="-"/>
    <s v="-"/>
    <s v="-"/>
    <s v="-"/>
    <s v="-"/>
    <s v="-"/>
    <s v="-"/>
    <n v="2"/>
    <n v="0"/>
    <n v="8"/>
    <e v="#VALUE!"/>
  </r>
  <r>
    <x v="3"/>
    <x v="124"/>
    <x v="1"/>
    <n v="17"/>
    <n v="16"/>
    <n v="2"/>
    <n v="333"/>
    <n v="67"/>
    <n v="23.78"/>
    <n v="273"/>
    <n v="121.97"/>
    <n v="0"/>
    <n v="3"/>
    <n v="1"/>
    <n v="31"/>
    <n v="9"/>
    <s v="-"/>
    <s v="-"/>
    <s v="-"/>
    <s v="-"/>
    <s v="-"/>
    <s v="-"/>
    <s v="-"/>
    <s v="-"/>
    <s v="-"/>
    <s v="-"/>
    <s v="-"/>
    <n v="10"/>
    <n v="0"/>
    <n v="11"/>
    <e v="#VALUE!"/>
  </r>
  <r>
    <x v="3"/>
    <x v="124"/>
    <x v="2"/>
    <n v="14"/>
    <n v="14"/>
    <n v="2"/>
    <n v="286"/>
    <n v="94"/>
    <n v="23.83"/>
    <n v="215"/>
    <n v="133.02000000000001"/>
    <n v="0"/>
    <n v="2"/>
    <n v="3"/>
    <n v="25"/>
    <n v="12"/>
    <s v="-"/>
    <s v="-"/>
    <s v="-"/>
    <s v="-"/>
    <s v="-"/>
    <s v="-"/>
    <s v="-"/>
    <s v="-"/>
    <s v="-"/>
    <s v="-"/>
    <s v="-"/>
    <n v="8"/>
    <n v="0"/>
    <n v="13"/>
    <e v="#VALUE!"/>
  </r>
  <r>
    <x v="3"/>
    <x v="124"/>
    <x v="3"/>
    <n v="15"/>
    <n v="15"/>
    <n v="1"/>
    <n v="405"/>
    <n v="67"/>
    <n v="28.92"/>
    <n v="315"/>
    <n v="128.57"/>
    <n v="0"/>
    <n v="2"/>
    <n v="0"/>
    <n v="52"/>
    <n v="10"/>
    <s v="-"/>
    <s v="-"/>
    <s v="-"/>
    <s v="-"/>
    <s v="-"/>
    <s v="-"/>
    <s v="-"/>
    <s v="-"/>
    <s v="-"/>
    <s v="-"/>
    <s v="-"/>
    <n v="4"/>
    <n v="0"/>
    <n v="18"/>
    <e v="#VALUE!"/>
  </r>
  <r>
    <x v="3"/>
    <x v="125"/>
    <x v="0"/>
    <n v="12"/>
    <n v="9"/>
    <n v="3"/>
    <n v="237"/>
    <n v="86"/>
    <n v="39.5"/>
    <n v="124"/>
    <n v="191.12"/>
    <n v="0"/>
    <n v="1"/>
    <n v="0"/>
    <n v="22"/>
    <n v="13"/>
    <n v="11"/>
    <n v="31.1"/>
    <n v="0"/>
    <n v="236"/>
    <n v="6"/>
    <d v="2015-02-01T00:00:00"/>
    <n v="39.33"/>
    <n v="7.57"/>
    <n v="31.1"/>
    <n v="0"/>
    <n v="0"/>
    <n v="2"/>
    <n v="0"/>
    <n v="6"/>
    <n v="39.333333333333336"/>
  </r>
  <r>
    <x v="3"/>
    <x v="125"/>
    <x v="1"/>
    <n v="13"/>
    <n v="11"/>
    <n v="4"/>
    <n v="243"/>
    <n v="47"/>
    <n v="34.71"/>
    <n v="179"/>
    <n v="135.75"/>
    <n v="0"/>
    <n v="0"/>
    <n v="0"/>
    <n v="24"/>
    <n v="7"/>
    <n v="13"/>
    <n v="40"/>
    <n v="0"/>
    <n v="273"/>
    <n v="10"/>
    <d v="2014-03-01T00:00:00"/>
    <n v="27.3"/>
    <n v="6.82"/>
    <n v="24"/>
    <n v="0"/>
    <n v="0"/>
    <n v="2"/>
    <n v="0"/>
    <n v="4"/>
    <n v="27.3"/>
  </r>
  <r>
    <x v="3"/>
    <x v="125"/>
    <x v="2"/>
    <n v="14"/>
    <n v="13"/>
    <n v="3"/>
    <n v="228"/>
    <s v="41*"/>
    <n v="22.8"/>
    <n v="157"/>
    <n v="145.22"/>
    <n v="0"/>
    <n v="0"/>
    <n v="0"/>
    <n v="22"/>
    <n v="10"/>
    <n v="13"/>
    <n v="40.1"/>
    <n v="0"/>
    <n v="284"/>
    <n v="12"/>
    <d v="2028-03-01T00:00:00"/>
    <n v="23.66"/>
    <n v="7.07"/>
    <n v="20"/>
    <n v="0"/>
    <n v="0"/>
    <n v="9"/>
    <n v="0"/>
    <n v="12"/>
    <n v="23.666666666666668"/>
  </r>
  <r>
    <x v="3"/>
    <x v="125"/>
    <x v="3"/>
    <n v="16"/>
    <n v="15"/>
    <n v="4"/>
    <n v="183"/>
    <n v="42"/>
    <n v="16.63"/>
    <n v="150"/>
    <n v="122"/>
    <n v="0"/>
    <n v="0"/>
    <n v="1"/>
    <n v="18"/>
    <n v="5"/>
    <n v="16"/>
    <n v="46"/>
    <n v="0"/>
    <n v="335"/>
    <n v="12"/>
    <d v="1934-03-01T00:00:00"/>
    <n v="27.91"/>
    <n v="7.28"/>
    <n v="23"/>
    <n v="0"/>
    <n v="0"/>
    <n v="5"/>
    <n v="0"/>
    <n v="11"/>
    <n v="27.916666666666668"/>
  </r>
  <r>
    <x v="3"/>
    <x v="105"/>
    <x v="0"/>
    <n v="4"/>
    <n v="3"/>
    <n v="0"/>
    <n v="104"/>
    <n v="70"/>
    <n v="34.659999999999997"/>
    <n v="75"/>
    <n v="138.66"/>
    <n v="0"/>
    <n v="1"/>
    <n v="0"/>
    <n v="7"/>
    <n v="8"/>
    <n v="1"/>
    <n v="1"/>
    <n v="0"/>
    <n v="3"/>
    <n v="0"/>
    <s v="-"/>
    <s v="-"/>
    <n v="3"/>
    <s v="-"/>
    <n v="0"/>
    <n v="0"/>
    <n v="0"/>
    <n v="0"/>
    <n v="8"/>
    <e v="#DIV/0!"/>
  </r>
  <r>
    <x v="3"/>
    <x v="105"/>
    <x v="1"/>
    <n v="13"/>
    <n v="12"/>
    <n v="1"/>
    <n v="333"/>
    <s v="62*"/>
    <n v="30.27"/>
    <n v="264"/>
    <n v="126.13"/>
    <n v="0"/>
    <n v="3"/>
    <n v="0"/>
    <n v="24"/>
    <n v="17"/>
    <s v="-"/>
    <s v="-"/>
    <s v="-"/>
    <s v="-"/>
    <s v="-"/>
    <s v="-"/>
    <s v="-"/>
    <s v="-"/>
    <s v="-"/>
    <s v="-"/>
    <s v="-"/>
    <n v="4"/>
    <n v="0"/>
    <n v="7"/>
    <e v="#VALUE!"/>
  </r>
  <r>
    <x v="3"/>
    <x v="126"/>
    <x v="0"/>
    <n v="14"/>
    <n v="7"/>
    <n v="4"/>
    <n v="92"/>
    <s v="45*"/>
    <n v="30.66"/>
    <n v="84"/>
    <n v="109.52"/>
    <n v="0"/>
    <n v="0"/>
    <n v="1"/>
    <n v="11"/>
    <n v="2"/>
    <n v="14"/>
    <n v="49"/>
    <n v="0"/>
    <n v="392"/>
    <n v="9"/>
    <d v="2029-02-01T00:00:00"/>
    <n v="43.55"/>
    <n v="8"/>
    <n v="32.6"/>
    <n v="0"/>
    <n v="0"/>
    <n v="4"/>
    <n v="0"/>
    <n v="3"/>
    <n v="43.555555555555557"/>
  </r>
  <r>
    <x v="3"/>
    <x v="126"/>
    <x v="1"/>
    <n v="11"/>
    <n v="7"/>
    <n v="5"/>
    <n v="16"/>
    <s v="7*"/>
    <n v="8"/>
    <n v="16"/>
    <n v="100"/>
    <n v="0"/>
    <n v="0"/>
    <n v="1"/>
    <n v="0"/>
    <n v="1"/>
    <n v="11"/>
    <n v="41"/>
    <n v="0"/>
    <n v="266"/>
    <n v="8"/>
    <d v="2022-03-01T00:00:00"/>
    <n v="33.25"/>
    <n v="6.48"/>
    <n v="30.7"/>
    <n v="0"/>
    <n v="0"/>
    <n v="2"/>
    <n v="0"/>
    <n v="6"/>
    <n v="33.25"/>
  </r>
  <r>
    <x v="3"/>
    <x v="127"/>
    <x v="0"/>
    <n v="13"/>
    <n v="12"/>
    <n v="1"/>
    <n v="334"/>
    <n v="65"/>
    <n v="30.36"/>
    <n v="278"/>
    <n v="120.14"/>
    <n v="0"/>
    <n v="2"/>
    <n v="1"/>
    <n v="28"/>
    <n v="12"/>
    <s v="-"/>
    <s v="-"/>
    <s v="-"/>
    <s v="-"/>
    <s v="-"/>
    <s v="-"/>
    <s v="-"/>
    <s v="-"/>
    <s v="-"/>
    <s v="-"/>
    <s v="-"/>
    <n v="4"/>
    <n v="0"/>
    <n v="14"/>
    <e v="#VALUE!"/>
  </r>
  <r>
    <x v="3"/>
    <x v="127"/>
    <x v="1"/>
    <n v="5"/>
    <n v="5"/>
    <n v="0"/>
    <n v="91"/>
    <n v="63"/>
    <n v="18.2"/>
    <n v="78"/>
    <n v="116.66"/>
    <n v="0"/>
    <n v="1"/>
    <n v="1"/>
    <n v="7"/>
    <n v="3"/>
    <s v="-"/>
    <s v="-"/>
    <s v="-"/>
    <s v="-"/>
    <s v="-"/>
    <s v="-"/>
    <s v="-"/>
    <s v="-"/>
    <s v="-"/>
    <s v="-"/>
    <s v="-"/>
    <n v="3"/>
    <n v="0"/>
    <n v="11"/>
    <e v="#VALUE!"/>
  </r>
  <r>
    <x v="3"/>
    <x v="128"/>
    <x v="0"/>
    <n v="13"/>
    <n v="12"/>
    <n v="4"/>
    <n v="207"/>
    <s v="51*"/>
    <n v="25.87"/>
    <n v="144"/>
    <n v="143.75"/>
    <n v="0"/>
    <n v="1"/>
    <n v="0"/>
    <n v="11"/>
    <n v="16"/>
    <n v="4"/>
    <n v="6"/>
    <n v="0"/>
    <n v="81"/>
    <n v="0"/>
    <s v="-"/>
    <s v="-"/>
    <n v="13.5"/>
    <s v="-"/>
    <n v="0"/>
    <n v="0"/>
    <n v="5"/>
    <n v="0"/>
    <n v="18"/>
    <e v="#DIV/0!"/>
  </r>
  <r>
    <x v="3"/>
    <x v="128"/>
    <x v="1"/>
    <n v="17"/>
    <n v="16"/>
    <n v="3"/>
    <n v="385"/>
    <n v="70"/>
    <n v="29.61"/>
    <n v="276"/>
    <n v="139.49"/>
    <n v="0"/>
    <n v="3"/>
    <n v="0"/>
    <n v="26"/>
    <n v="22"/>
    <n v="1"/>
    <n v="1.5"/>
    <n v="0"/>
    <n v="30"/>
    <n v="0"/>
    <s v="-"/>
    <s v="-"/>
    <n v="16.36"/>
    <s v="-"/>
    <n v="0"/>
    <n v="0"/>
    <n v="15"/>
    <n v="0"/>
    <n v="15"/>
    <e v="#DIV/0!"/>
  </r>
  <r>
    <x v="3"/>
    <x v="128"/>
    <x v="2"/>
    <n v="9"/>
    <n v="8"/>
    <n v="1"/>
    <n v="133"/>
    <n v="50"/>
    <n v="19"/>
    <n v="100"/>
    <n v="133"/>
    <n v="0"/>
    <n v="1"/>
    <n v="1"/>
    <n v="10"/>
    <n v="7"/>
    <s v="-"/>
    <s v="-"/>
    <s v="-"/>
    <s v="-"/>
    <s v="-"/>
    <s v="-"/>
    <s v="-"/>
    <s v="-"/>
    <s v="-"/>
    <s v="-"/>
    <s v="-"/>
    <n v="4"/>
    <n v="0"/>
    <n v="9"/>
    <e v="#VALUE!"/>
  </r>
  <r>
    <x v="3"/>
    <x v="128"/>
    <x v="3"/>
    <n v="16"/>
    <n v="14"/>
    <n v="6"/>
    <n v="279"/>
    <n v="83"/>
    <n v="34.869999999999997"/>
    <n v="178"/>
    <n v="156.74"/>
    <n v="0"/>
    <n v="1"/>
    <n v="0"/>
    <n v="14"/>
    <n v="22"/>
    <s v="-"/>
    <s v="-"/>
    <s v="-"/>
    <s v="-"/>
    <s v="-"/>
    <s v="-"/>
    <s v="-"/>
    <s v="-"/>
    <s v="-"/>
    <s v="-"/>
    <s v="-"/>
    <n v="8"/>
    <n v="0"/>
    <n v="4"/>
    <e v="#VALUE!"/>
  </r>
  <r>
    <x v="3"/>
    <x v="129"/>
    <x v="0"/>
    <n v="14"/>
    <n v="14"/>
    <n v="3"/>
    <n v="255"/>
    <n v="41"/>
    <n v="23.18"/>
    <n v="184"/>
    <n v="138.58000000000001"/>
    <n v="0"/>
    <n v="0"/>
    <n v="1"/>
    <n v="23"/>
    <n v="11"/>
    <s v="-"/>
    <s v="-"/>
    <s v="-"/>
    <s v="-"/>
    <s v="-"/>
    <s v="-"/>
    <s v="-"/>
    <s v="-"/>
    <s v="-"/>
    <s v="-"/>
    <s v="-"/>
    <n v="7"/>
    <n v="0"/>
    <n v="14"/>
    <e v="#VALUE!"/>
  </r>
  <r>
    <x v="3"/>
    <x v="129"/>
    <x v="1"/>
    <n v="10"/>
    <n v="10"/>
    <n v="0"/>
    <n v="272"/>
    <n v="77"/>
    <n v="27.2"/>
    <n v="177"/>
    <n v="153.66999999999999"/>
    <n v="0"/>
    <n v="1"/>
    <n v="0"/>
    <n v="27"/>
    <n v="15"/>
    <s v="-"/>
    <s v="-"/>
    <s v="-"/>
    <s v="-"/>
    <s v="-"/>
    <s v="-"/>
    <s v="-"/>
    <s v="-"/>
    <s v="-"/>
    <s v="-"/>
    <s v="-"/>
    <n v="1"/>
    <n v="0"/>
    <n v="8"/>
    <e v="#VALUE!"/>
  </r>
  <r>
    <x v="3"/>
    <x v="62"/>
    <x v="0"/>
    <n v="3"/>
    <n v="3"/>
    <n v="0"/>
    <n v="57"/>
    <n v="48"/>
    <n v="19"/>
    <n v="55"/>
    <n v="103.63"/>
    <n v="0"/>
    <n v="0"/>
    <n v="0"/>
    <n v="3"/>
    <n v="3"/>
    <s v="-"/>
    <s v="-"/>
    <s v="-"/>
    <s v="-"/>
    <s v="-"/>
    <s v="-"/>
    <s v="-"/>
    <s v="-"/>
    <s v="-"/>
    <s v="-"/>
    <s v="-"/>
    <n v="0"/>
    <n v="0"/>
    <n v="16"/>
    <e v="#VALUE!"/>
  </r>
  <r>
    <x v="3"/>
    <x v="130"/>
    <x v="0"/>
    <n v="10"/>
    <n v="10"/>
    <n v="0"/>
    <n v="177"/>
    <n v="81"/>
    <n v="17.7"/>
    <n v="152"/>
    <n v="116.44"/>
    <n v="0"/>
    <n v="1"/>
    <n v="1"/>
    <n v="23"/>
    <n v="4"/>
    <s v="-"/>
    <s v="-"/>
    <s v="-"/>
    <s v="-"/>
    <s v="-"/>
    <s v="-"/>
    <s v="-"/>
    <s v="-"/>
    <s v="-"/>
    <s v="-"/>
    <s v="-"/>
    <n v="9"/>
    <n v="1"/>
    <n v="10"/>
    <e v="#VALUE!"/>
  </r>
  <r>
    <x v="3"/>
    <x v="130"/>
    <x v="1"/>
    <n v="16"/>
    <n v="16"/>
    <n v="0"/>
    <n v="395"/>
    <n v="70"/>
    <n v="24.68"/>
    <n v="293"/>
    <n v="134.81"/>
    <n v="0"/>
    <n v="2"/>
    <n v="2"/>
    <n v="49"/>
    <n v="8"/>
    <s v="-"/>
    <s v="-"/>
    <s v="-"/>
    <s v="-"/>
    <s v="-"/>
    <s v="-"/>
    <s v="-"/>
    <s v="-"/>
    <s v="-"/>
    <s v="-"/>
    <s v="-"/>
    <n v="6"/>
    <n v="2"/>
    <n v="7"/>
    <e v="#VALUE!"/>
  </r>
  <r>
    <x v="3"/>
    <x v="106"/>
    <x v="0"/>
    <n v="3"/>
    <n v="2"/>
    <n v="1"/>
    <n v="13"/>
    <n v="12"/>
    <n v="13"/>
    <n v="12"/>
    <n v="108.33"/>
    <n v="0"/>
    <n v="0"/>
    <n v="0"/>
    <n v="0"/>
    <n v="1"/>
    <n v="3"/>
    <n v="9"/>
    <n v="1"/>
    <n v="64"/>
    <n v="3"/>
    <d v="2017-02-01T00:00:00"/>
    <n v="21.33"/>
    <n v="7.11"/>
    <n v="18"/>
    <n v="0"/>
    <n v="0"/>
    <n v="0"/>
    <n v="0"/>
    <n v="14"/>
    <n v="21.333333333333332"/>
  </r>
  <r>
    <x v="3"/>
    <x v="106"/>
    <x v="1"/>
    <n v="1"/>
    <s v="-"/>
    <s v="-"/>
    <s v="-"/>
    <s v="-"/>
    <s v="-"/>
    <s v="-"/>
    <s v="-"/>
    <s v="-"/>
    <s v="-"/>
    <s v="-"/>
    <s v="-"/>
    <s v="-"/>
    <n v="1"/>
    <n v="3"/>
    <n v="0"/>
    <n v="31"/>
    <n v="2"/>
    <d v="1931-02-01T00:00:00"/>
    <n v="15.5"/>
    <n v="10.33"/>
    <n v="9"/>
    <n v="0"/>
    <n v="0"/>
    <n v="0"/>
    <n v="0"/>
    <n v="11"/>
    <n v="15.5"/>
  </r>
  <r>
    <x v="3"/>
    <x v="131"/>
    <x v="0"/>
    <n v="14"/>
    <n v="5"/>
    <n v="2"/>
    <n v="34"/>
    <n v="20"/>
    <n v="11.33"/>
    <n v="23"/>
    <n v="147.82"/>
    <n v="0"/>
    <n v="0"/>
    <n v="0"/>
    <n v="2"/>
    <n v="3"/>
    <n v="14"/>
    <n v="53.2"/>
    <n v="0"/>
    <n v="436"/>
    <n v="17"/>
    <d v="2021-04-01T00:00:00"/>
    <n v="25.64"/>
    <n v="8.17"/>
    <n v="18.8"/>
    <n v="1"/>
    <n v="0"/>
    <n v="0"/>
    <n v="0"/>
    <n v="14"/>
    <n v="25.647058823529413"/>
  </r>
  <r>
    <x v="3"/>
    <x v="131"/>
    <x v="1"/>
    <n v="14"/>
    <n v="7"/>
    <n v="3"/>
    <n v="16"/>
    <n v="12"/>
    <n v="4"/>
    <n v="15"/>
    <n v="106.66"/>
    <n v="0"/>
    <n v="0"/>
    <n v="2"/>
    <n v="0"/>
    <n v="1"/>
    <n v="14"/>
    <n v="54"/>
    <n v="0"/>
    <n v="507"/>
    <n v="19"/>
    <d v="2024-03-01T00:00:00"/>
    <n v="26.68"/>
    <n v="9.3800000000000008"/>
    <n v="17"/>
    <n v="0"/>
    <n v="0"/>
    <n v="1"/>
    <n v="0"/>
    <n v="3"/>
    <n v="26.684210526315791"/>
  </r>
  <r>
    <x v="3"/>
    <x v="131"/>
    <x v="2"/>
    <n v="11"/>
    <n v="5"/>
    <n v="3"/>
    <n v="11"/>
    <s v="11*"/>
    <n v="5.5"/>
    <n v="10"/>
    <n v="110"/>
    <n v="0"/>
    <n v="0"/>
    <n v="2"/>
    <n v="1"/>
    <n v="1"/>
    <n v="11"/>
    <n v="40"/>
    <n v="0"/>
    <n v="332"/>
    <n v="14"/>
    <d v="2022-02-01T00:00:00"/>
    <n v="23.71"/>
    <n v="8.3000000000000007"/>
    <n v="17.100000000000001"/>
    <n v="0"/>
    <n v="0"/>
    <n v="0"/>
    <n v="0"/>
    <n v="12"/>
    <n v="23.714285714285715"/>
  </r>
  <r>
    <x v="3"/>
    <x v="131"/>
    <x v="3"/>
    <n v="5"/>
    <n v="4"/>
    <n v="1"/>
    <n v="11"/>
    <n v="10"/>
    <n v="3.66"/>
    <n v="16"/>
    <n v="68.75"/>
    <n v="0"/>
    <n v="0"/>
    <n v="1"/>
    <n v="2"/>
    <n v="0"/>
    <n v="5"/>
    <n v="18"/>
    <n v="1"/>
    <n v="142"/>
    <n v="3"/>
    <d v="1940-03-01T00:00:00"/>
    <n v="47.33"/>
    <n v="7.88"/>
    <n v="36"/>
    <n v="0"/>
    <n v="0"/>
    <n v="0"/>
    <n v="0"/>
    <n v="10"/>
    <n v="47.333333333333336"/>
  </r>
  <r>
    <x v="3"/>
    <x v="132"/>
    <x v="0"/>
    <n v="11"/>
    <n v="4"/>
    <n v="1"/>
    <n v="30"/>
    <n v="25"/>
    <n v="10"/>
    <n v="19"/>
    <n v="157.88999999999999"/>
    <n v="0"/>
    <n v="0"/>
    <n v="0"/>
    <n v="1"/>
    <n v="2"/>
    <n v="11"/>
    <n v="43"/>
    <n v="0"/>
    <n v="329"/>
    <n v="9"/>
    <d v="2024-03-01T00:00:00"/>
    <n v="36.549999999999997"/>
    <n v="7.65"/>
    <n v="28.6"/>
    <n v="0"/>
    <n v="0"/>
    <n v="4"/>
    <n v="0"/>
    <n v="17"/>
    <n v="36.555555555555557"/>
  </r>
  <r>
    <x v="3"/>
    <x v="132"/>
    <x v="1"/>
    <n v="3"/>
    <n v="1"/>
    <n v="0"/>
    <n v="7"/>
    <n v="7"/>
    <n v="7"/>
    <n v="3"/>
    <n v="233.33"/>
    <n v="0"/>
    <n v="0"/>
    <n v="0"/>
    <n v="0"/>
    <n v="1"/>
    <n v="3"/>
    <n v="10"/>
    <n v="1"/>
    <n v="96"/>
    <n v="3"/>
    <d v="1939-02-01T00:00:00"/>
    <n v="32"/>
    <n v="9.6"/>
    <n v="20"/>
    <n v="0"/>
    <n v="0"/>
    <n v="1"/>
    <n v="0"/>
    <n v="4"/>
    <n v="32"/>
  </r>
  <r>
    <x v="3"/>
    <x v="133"/>
    <x v="0"/>
    <n v="14"/>
    <n v="2"/>
    <n v="1"/>
    <n v="8"/>
    <n v="6"/>
    <n v="8"/>
    <n v="11"/>
    <n v="72.72"/>
    <n v="0"/>
    <n v="0"/>
    <n v="0"/>
    <n v="1"/>
    <n v="0"/>
    <n v="14"/>
    <n v="52"/>
    <n v="0"/>
    <n v="406"/>
    <n v="15"/>
    <d v="2013-03-01T00:00:00"/>
    <n v="27.06"/>
    <n v="7.8"/>
    <n v="20.8"/>
    <n v="0"/>
    <n v="0"/>
    <n v="1"/>
    <n v="0"/>
    <n v="11"/>
    <n v="27.066666666666666"/>
  </r>
  <r>
    <x v="3"/>
    <x v="133"/>
    <x v="1"/>
    <n v="16"/>
    <n v="2"/>
    <n v="1"/>
    <n v="16"/>
    <s v="16*"/>
    <n v="16"/>
    <n v="12"/>
    <n v="133.33000000000001"/>
    <n v="0"/>
    <n v="0"/>
    <n v="1"/>
    <n v="0"/>
    <n v="1"/>
    <n v="16"/>
    <n v="59.2"/>
    <n v="2"/>
    <n v="440"/>
    <n v="20"/>
    <d v="2020-07-03T00:00:00"/>
    <n v="22"/>
    <n v="7.41"/>
    <n v="17.8"/>
    <n v="0"/>
    <n v="0"/>
    <n v="2"/>
    <n v="0"/>
    <n v="9"/>
    <n v="22"/>
  </r>
  <r>
    <x v="3"/>
    <x v="133"/>
    <x v="2"/>
    <n v="14"/>
    <n v="3"/>
    <n v="2"/>
    <n v="10"/>
    <s v="6*"/>
    <n v="10"/>
    <n v="11"/>
    <n v="90.9"/>
    <n v="0"/>
    <n v="0"/>
    <n v="1"/>
    <n v="1"/>
    <n v="0"/>
    <n v="14"/>
    <n v="54"/>
    <n v="0"/>
    <n v="372"/>
    <n v="17"/>
    <d v="2015-03-01T00:00:00"/>
    <n v="21.88"/>
    <n v="6.88"/>
    <n v="19"/>
    <n v="0"/>
    <n v="0"/>
    <n v="4"/>
    <n v="0"/>
    <n v="13"/>
    <n v="21.882352941176471"/>
  </r>
  <r>
    <x v="3"/>
    <x v="133"/>
    <x v="3"/>
    <n v="16"/>
    <n v="2"/>
    <n v="2"/>
    <n v="0"/>
    <s v="0*"/>
    <s v="-"/>
    <n v="1"/>
    <n v="0"/>
    <n v="0"/>
    <n v="0"/>
    <n v="0"/>
    <n v="0"/>
    <n v="0"/>
    <n v="16"/>
    <n v="61.4"/>
    <n v="1"/>
    <n v="409"/>
    <n v="19"/>
    <d v="2020-03-01T00:00:00"/>
    <n v="21.52"/>
    <n v="6.63"/>
    <n v="19.399999999999999"/>
    <n v="0"/>
    <n v="0"/>
    <n v="2"/>
    <n v="0"/>
    <n v="3"/>
    <n v="21.526315789473685"/>
  </r>
  <r>
    <x v="3"/>
    <x v="134"/>
    <x v="0"/>
    <n v="1"/>
    <n v="1"/>
    <n v="0"/>
    <n v="8"/>
    <n v="8"/>
    <n v="8"/>
    <n v="8"/>
    <n v="100"/>
    <n v="0"/>
    <n v="0"/>
    <n v="0"/>
    <n v="0"/>
    <n v="1"/>
    <s v="-"/>
    <s v="-"/>
    <s v="-"/>
    <s v="-"/>
    <s v="-"/>
    <s v="-"/>
    <s v="-"/>
    <s v="-"/>
    <s v="-"/>
    <s v="-"/>
    <s v="-"/>
    <n v="0"/>
    <n v="0"/>
    <n v="15"/>
    <e v="#VALUE!"/>
  </r>
  <r>
    <x v="3"/>
    <x v="134"/>
    <x v="1"/>
    <n v="7"/>
    <n v="7"/>
    <n v="0"/>
    <n v="137"/>
    <n v="66"/>
    <n v="19.57"/>
    <n v="112"/>
    <n v="122.32"/>
    <n v="0"/>
    <n v="2"/>
    <n v="1"/>
    <n v="10"/>
    <n v="8"/>
    <s v="-"/>
    <s v="-"/>
    <s v="-"/>
    <s v="-"/>
    <s v="-"/>
    <s v="-"/>
    <s v="-"/>
    <s v="-"/>
    <s v="-"/>
    <s v="-"/>
    <s v="-"/>
    <n v="2"/>
    <n v="0"/>
    <n v="18"/>
    <e v="#VALUE!"/>
  </r>
  <r>
    <x v="3"/>
    <x v="135"/>
    <x v="0"/>
    <n v="11"/>
    <n v="9"/>
    <n v="2"/>
    <n v="44"/>
    <n v="9"/>
    <n v="6.28"/>
    <n v="63"/>
    <n v="69.84"/>
    <n v="0"/>
    <n v="0"/>
    <n v="0"/>
    <n v="4"/>
    <n v="0"/>
    <n v="10"/>
    <n v="16.399999999999999"/>
    <n v="0"/>
    <n v="153"/>
    <n v="3"/>
    <d v="2020-07-01T00:00:00"/>
    <n v="51"/>
    <n v="9.18"/>
    <n v="33.299999999999997"/>
    <n v="0"/>
    <n v="0"/>
    <n v="6"/>
    <n v="0"/>
    <n v="6"/>
    <n v="51"/>
  </r>
  <r>
    <x v="3"/>
    <x v="135"/>
    <x v="1"/>
    <n v="17"/>
    <n v="16"/>
    <n v="9"/>
    <n v="250"/>
    <s v="35*"/>
    <n v="35.71"/>
    <n v="160"/>
    <n v="156.25"/>
    <n v="0"/>
    <n v="0"/>
    <n v="0"/>
    <n v="11"/>
    <n v="20"/>
    <n v="13"/>
    <n v="26"/>
    <n v="0"/>
    <n v="213"/>
    <n v="6"/>
    <d v="2022-02-01T00:00:00"/>
    <n v="35.5"/>
    <n v="8.19"/>
    <n v="26"/>
    <n v="0"/>
    <n v="0"/>
    <n v="12"/>
    <n v="0"/>
    <n v="13"/>
    <n v="35.5"/>
  </r>
  <r>
    <x v="3"/>
    <x v="135"/>
    <x v="2"/>
    <n v="13"/>
    <n v="13"/>
    <n v="4"/>
    <n v="260"/>
    <n v="50"/>
    <n v="28.88"/>
    <n v="195"/>
    <n v="133.33000000000001"/>
    <n v="0"/>
    <n v="1"/>
    <n v="0"/>
    <n v="20"/>
    <n v="11"/>
    <n v="13"/>
    <n v="42.4"/>
    <n v="0"/>
    <n v="381"/>
    <n v="18"/>
    <d v="2024-03-01T00:00:00"/>
    <n v="21.16"/>
    <n v="8.92"/>
    <n v="14.2"/>
    <n v="0"/>
    <n v="0"/>
    <n v="8"/>
    <n v="0"/>
    <n v="18"/>
    <n v="21.166666666666668"/>
  </r>
  <r>
    <x v="3"/>
    <x v="135"/>
    <x v="3"/>
    <n v="16"/>
    <n v="15"/>
    <n v="6"/>
    <n v="402"/>
    <n v="91"/>
    <n v="44.66"/>
    <n v="210"/>
    <n v="191.42"/>
    <n v="0"/>
    <n v="1"/>
    <n v="1"/>
    <n v="28"/>
    <n v="29"/>
    <n v="16"/>
    <n v="42.3"/>
    <n v="0"/>
    <n v="390"/>
    <n v="14"/>
    <d v="2020-03-01T00:00:00"/>
    <n v="27.85"/>
    <n v="9.17"/>
    <n v="18.2"/>
    <n v="0"/>
    <n v="0"/>
    <n v="11"/>
    <n v="0"/>
    <n v="4"/>
    <n v="27.857142857142858"/>
  </r>
  <r>
    <x v="3"/>
    <x v="136"/>
    <x v="0"/>
    <n v="1"/>
    <n v="1"/>
    <n v="0"/>
    <n v="2"/>
    <n v="2"/>
    <n v="2"/>
    <n v="16"/>
    <n v="12.5"/>
    <n v="0"/>
    <n v="0"/>
    <n v="0"/>
    <n v="0"/>
    <n v="0"/>
    <n v="1"/>
    <n v="3"/>
    <n v="0"/>
    <n v="18"/>
    <n v="0"/>
    <s v="-"/>
    <s v="-"/>
    <n v="6"/>
    <s v="-"/>
    <n v="0"/>
    <n v="0"/>
    <n v="0"/>
    <n v="0"/>
    <n v="17"/>
    <e v="#DIV/0!"/>
  </r>
  <r>
    <x v="3"/>
    <x v="137"/>
    <x v="0"/>
    <n v="1"/>
    <n v="1"/>
    <n v="0"/>
    <n v="0"/>
    <n v="0"/>
    <n v="0"/>
    <n v="4"/>
    <n v="0"/>
    <n v="0"/>
    <n v="0"/>
    <n v="1"/>
    <n v="0"/>
    <n v="0"/>
    <s v="-"/>
    <s v="-"/>
    <s v="-"/>
    <s v="-"/>
    <s v="-"/>
    <s v="-"/>
    <s v="-"/>
    <s v="-"/>
    <s v="-"/>
    <s v="-"/>
    <s v="-"/>
    <n v="0"/>
    <n v="0"/>
    <n v="3"/>
    <e v="#VALUE!"/>
  </r>
  <r>
    <x v="3"/>
    <x v="138"/>
    <x v="0"/>
    <n v="1"/>
    <s v="-"/>
    <s v="-"/>
    <s v="-"/>
    <s v="-"/>
    <s v="-"/>
    <s v="-"/>
    <s v="-"/>
    <s v="-"/>
    <s v="-"/>
    <s v="-"/>
    <s v="-"/>
    <s v="-"/>
    <n v="1"/>
    <n v="2"/>
    <n v="0"/>
    <n v="31"/>
    <n v="0"/>
    <s v="-"/>
    <s v="-"/>
    <n v="15.5"/>
    <s v="-"/>
    <n v="0"/>
    <n v="0"/>
    <n v="0"/>
    <n v="0"/>
    <n v="14"/>
    <e v="#DIV/0!"/>
  </r>
  <r>
    <x v="3"/>
    <x v="139"/>
    <x v="2"/>
    <n v="9"/>
    <n v="6"/>
    <n v="2"/>
    <n v="96"/>
    <n v="37"/>
    <n v="24"/>
    <n v="58"/>
    <n v="165.51"/>
    <n v="0"/>
    <n v="0"/>
    <n v="0"/>
    <n v="5"/>
    <n v="8"/>
    <n v="7"/>
    <n v="17"/>
    <n v="0"/>
    <n v="168"/>
    <n v="2"/>
    <d v="2020-12-01T00:00:00"/>
    <n v="84"/>
    <n v="9.8800000000000008"/>
    <n v="51"/>
    <n v="0"/>
    <n v="0"/>
    <n v="7"/>
    <n v="0"/>
    <n v="3"/>
    <n v="84"/>
  </r>
  <r>
    <x v="3"/>
    <x v="139"/>
    <x v="3"/>
    <n v="3"/>
    <n v="3"/>
    <n v="1"/>
    <n v="18"/>
    <s v="13*"/>
    <n v="9"/>
    <n v="17"/>
    <n v="105.88"/>
    <n v="0"/>
    <n v="0"/>
    <n v="0"/>
    <n v="1"/>
    <n v="1"/>
    <n v="1"/>
    <n v="2"/>
    <n v="0"/>
    <n v="27"/>
    <n v="1"/>
    <d v="2027-01-01T00:00:00"/>
    <n v="27"/>
    <n v="13.5"/>
    <n v="12"/>
    <n v="0"/>
    <n v="0"/>
    <n v="0"/>
    <n v="0"/>
    <n v="11"/>
    <n v="27"/>
  </r>
  <r>
    <x v="3"/>
    <x v="68"/>
    <x v="3"/>
    <n v="4"/>
    <n v="4"/>
    <n v="0"/>
    <n v="98"/>
    <n v="53"/>
    <n v="24.5"/>
    <n v="75"/>
    <n v="130.66"/>
    <n v="0"/>
    <n v="1"/>
    <n v="0"/>
    <n v="7"/>
    <n v="6"/>
    <s v="-"/>
    <s v="-"/>
    <s v="-"/>
    <s v="-"/>
    <s v="-"/>
    <s v="-"/>
    <s v="-"/>
    <s v="-"/>
    <s v="-"/>
    <s v="-"/>
    <s v="-"/>
    <n v="0"/>
    <n v="0"/>
    <n v="12"/>
    <e v="#VALUE!"/>
  </r>
  <r>
    <x v="3"/>
    <x v="140"/>
    <x v="1"/>
    <n v="9"/>
    <n v="6"/>
    <n v="0"/>
    <n v="49"/>
    <n v="19"/>
    <n v="8.16"/>
    <n v="41"/>
    <n v="119.51"/>
    <n v="0"/>
    <n v="0"/>
    <n v="0"/>
    <n v="5"/>
    <n v="2"/>
    <n v="9"/>
    <n v="30.4"/>
    <n v="0"/>
    <n v="214"/>
    <n v="13"/>
    <d v="2016-04-01T00:00:00"/>
    <n v="16.46"/>
    <n v="6.97"/>
    <n v="14.1"/>
    <n v="1"/>
    <n v="0"/>
    <n v="3"/>
    <n v="0"/>
    <n v="17"/>
    <n v="16.46153846153846"/>
  </r>
  <r>
    <x v="3"/>
    <x v="70"/>
    <x v="3"/>
    <n v="2"/>
    <n v="1"/>
    <n v="1"/>
    <n v="3"/>
    <s v="3*"/>
    <s v="-"/>
    <n v="3"/>
    <n v="100"/>
    <n v="0"/>
    <n v="0"/>
    <n v="0"/>
    <n v="0"/>
    <n v="0"/>
    <n v="2"/>
    <n v="4"/>
    <n v="0"/>
    <n v="51"/>
    <n v="0"/>
    <s v="-"/>
    <s v="-"/>
    <n v="12.75"/>
    <s v="-"/>
    <n v="0"/>
    <n v="0"/>
    <n v="0"/>
    <n v="0"/>
    <n v="10"/>
    <e v="#DIV/0!"/>
  </r>
  <r>
    <x v="3"/>
    <x v="141"/>
    <x v="2"/>
    <n v="7"/>
    <n v="2"/>
    <n v="1"/>
    <n v="1"/>
    <n v="1"/>
    <n v="1"/>
    <n v="3"/>
    <n v="33.33"/>
    <n v="0"/>
    <n v="0"/>
    <n v="0"/>
    <n v="0"/>
    <n v="0"/>
    <n v="7"/>
    <n v="27.3"/>
    <n v="0"/>
    <n v="230"/>
    <n v="7"/>
    <d v="2024-03-01T00:00:00"/>
    <n v="32.85"/>
    <n v="8.36"/>
    <n v="23.5"/>
    <n v="0"/>
    <n v="0"/>
    <n v="2"/>
    <n v="0"/>
    <n v="18"/>
    <n v="32.857142857142854"/>
  </r>
  <r>
    <x v="3"/>
    <x v="142"/>
    <x v="2"/>
    <n v="14"/>
    <n v="12"/>
    <n v="0"/>
    <n v="275"/>
    <n v="62"/>
    <n v="22.91"/>
    <n v="184"/>
    <n v="149.44999999999999"/>
    <n v="0"/>
    <n v="2"/>
    <n v="3"/>
    <n v="22"/>
    <n v="17"/>
    <s v="-"/>
    <s v="-"/>
    <s v="-"/>
    <s v="-"/>
    <s v="-"/>
    <s v="-"/>
    <s v="-"/>
    <s v="-"/>
    <s v="-"/>
    <s v="-"/>
    <s v="-"/>
    <n v="9"/>
    <n v="2"/>
    <n v="12"/>
    <e v="#VALUE!"/>
  </r>
  <r>
    <x v="3"/>
    <x v="142"/>
    <x v="3"/>
    <n v="7"/>
    <n v="6"/>
    <n v="0"/>
    <n v="101"/>
    <n v="28"/>
    <n v="16.829999999999998"/>
    <n v="100"/>
    <n v="101"/>
    <n v="0"/>
    <n v="0"/>
    <n v="0"/>
    <n v="8"/>
    <n v="4"/>
    <s v="-"/>
    <s v="-"/>
    <s v="-"/>
    <s v="-"/>
    <s v="-"/>
    <s v="-"/>
    <s v="-"/>
    <s v="-"/>
    <s v="-"/>
    <s v="-"/>
    <s v="-"/>
    <n v="2"/>
    <n v="0"/>
    <n v="5"/>
    <e v="#VALUE!"/>
  </r>
  <r>
    <x v="3"/>
    <x v="143"/>
    <x v="2"/>
    <n v="1"/>
    <n v="1"/>
    <n v="0"/>
    <n v="0"/>
    <n v="0"/>
    <n v="0"/>
    <n v="4"/>
    <n v="0"/>
    <n v="0"/>
    <n v="0"/>
    <n v="1"/>
    <n v="0"/>
    <n v="0"/>
    <n v="1"/>
    <n v="2"/>
    <n v="0"/>
    <n v="19"/>
    <n v="0"/>
    <s v="-"/>
    <s v="-"/>
    <n v="9.5"/>
    <s v="-"/>
    <n v="0"/>
    <n v="0"/>
    <n v="0"/>
    <n v="0"/>
    <n v="9"/>
    <e v="#DIV/0!"/>
  </r>
  <r>
    <x v="3"/>
    <x v="144"/>
    <x v="1"/>
    <n v="1"/>
    <n v="1"/>
    <n v="0"/>
    <n v="52"/>
    <n v="52"/>
    <n v="52"/>
    <n v="43"/>
    <n v="120.93"/>
    <n v="0"/>
    <n v="1"/>
    <n v="0"/>
    <n v="9"/>
    <n v="0"/>
    <s v="-"/>
    <s v="-"/>
    <s v="-"/>
    <s v="-"/>
    <s v="-"/>
    <s v="-"/>
    <s v="-"/>
    <s v="-"/>
    <s v="-"/>
    <s v="-"/>
    <s v="-"/>
    <n v="0"/>
    <n v="0"/>
    <n v="12"/>
    <e v="#VALUE!"/>
  </r>
  <r>
    <x v="3"/>
    <x v="145"/>
    <x v="1"/>
    <n v="12"/>
    <n v="2"/>
    <n v="2"/>
    <n v="7"/>
    <s v="7*"/>
    <s v="-"/>
    <n v="3"/>
    <n v="233.33"/>
    <n v="0"/>
    <n v="0"/>
    <n v="0"/>
    <n v="0"/>
    <n v="1"/>
    <n v="12"/>
    <n v="44.5"/>
    <n v="0"/>
    <n v="382"/>
    <n v="11"/>
    <d v="2020-05-02T00:00:00"/>
    <n v="34.72"/>
    <n v="8.52"/>
    <n v="24.4"/>
    <n v="0"/>
    <n v="0"/>
    <n v="1"/>
    <n v="0"/>
    <n v="8"/>
    <n v="34.727272727272727"/>
  </r>
  <r>
    <x v="3"/>
    <x v="145"/>
    <x v="3"/>
    <n v="12"/>
    <s v="-"/>
    <s v="-"/>
    <s v="-"/>
    <s v="-"/>
    <s v="-"/>
    <s v="-"/>
    <s v="-"/>
    <s v="-"/>
    <s v="-"/>
    <s v="-"/>
    <s v="-"/>
    <s v="-"/>
    <n v="12"/>
    <n v="44.5"/>
    <n v="0"/>
    <n v="438"/>
    <n v="16"/>
    <d v="1931-04-01T00:00:00"/>
    <n v="27.37"/>
    <n v="9.76"/>
    <n v="16.8"/>
    <n v="2"/>
    <n v="0"/>
    <n v="1"/>
    <n v="0"/>
    <n v="11"/>
    <n v="27.375"/>
  </r>
  <r>
    <x v="3"/>
    <x v="146"/>
    <x v="3"/>
    <n v="13"/>
    <n v="4"/>
    <n v="2"/>
    <n v="12"/>
    <n v="10"/>
    <n v="6"/>
    <n v="11"/>
    <n v="109.09"/>
    <n v="0"/>
    <n v="0"/>
    <n v="1"/>
    <n v="2"/>
    <n v="0"/>
    <n v="13"/>
    <n v="47"/>
    <n v="0"/>
    <n v="308"/>
    <n v="13"/>
    <d v="2019-03-01T00:00:00"/>
    <n v="23.69"/>
    <n v="6.55"/>
    <n v="21.6"/>
    <n v="0"/>
    <n v="0"/>
    <n v="3"/>
    <n v="0"/>
    <n v="13"/>
    <n v="23.692307692307693"/>
  </r>
  <r>
    <x v="3"/>
    <x v="147"/>
    <x v="2"/>
    <n v="13"/>
    <n v="13"/>
    <n v="0"/>
    <n v="382"/>
    <n v="65"/>
    <n v="29.38"/>
    <n v="276"/>
    <n v="138.4"/>
    <n v="0"/>
    <n v="2"/>
    <n v="2"/>
    <n v="32"/>
    <n v="24"/>
    <s v="-"/>
    <s v="-"/>
    <s v="-"/>
    <s v="-"/>
    <s v="-"/>
    <s v="-"/>
    <s v="-"/>
    <s v="-"/>
    <s v="-"/>
    <s v="-"/>
    <s v="-"/>
    <n v="3"/>
    <n v="0"/>
    <n v="16"/>
    <e v="#VALUE!"/>
  </r>
  <r>
    <x v="3"/>
    <x v="147"/>
    <x v="3"/>
    <n v="3"/>
    <n v="3"/>
    <n v="0"/>
    <n v="48"/>
    <n v="32"/>
    <n v="16"/>
    <n v="52"/>
    <n v="92.3"/>
    <n v="0"/>
    <n v="0"/>
    <n v="0"/>
    <n v="4"/>
    <n v="2"/>
    <s v="-"/>
    <s v="-"/>
    <s v="-"/>
    <s v="-"/>
    <s v="-"/>
    <s v="-"/>
    <s v="-"/>
    <s v="-"/>
    <s v="-"/>
    <s v="-"/>
    <s v="-"/>
    <n v="3"/>
    <n v="0"/>
    <n v="7"/>
    <e v="#VALUE!"/>
  </r>
  <r>
    <x v="3"/>
    <x v="148"/>
    <x v="2"/>
    <n v="14"/>
    <n v="6"/>
    <n v="4"/>
    <n v="21"/>
    <s v="7*"/>
    <n v="10.5"/>
    <n v="24"/>
    <n v="87.5"/>
    <n v="0"/>
    <n v="0"/>
    <n v="0"/>
    <n v="2"/>
    <n v="0"/>
    <n v="14"/>
    <n v="44"/>
    <n v="0"/>
    <n v="368"/>
    <n v="15"/>
    <d v="2023-04-01T00:00:00"/>
    <n v="24.53"/>
    <n v="8.36"/>
    <n v="17.600000000000001"/>
    <n v="1"/>
    <n v="0"/>
    <n v="3"/>
    <n v="0"/>
    <n v="18"/>
    <n v="24.533333333333335"/>
  </r>
  <r>
    <x v="3"/>
    <x v="148"/>
    <x v="3"/>
    <n v="3"/>
    <n v="2"/>
    <n v="1"/>
    <n v="6"/>
    <n v="6"/>
    <n v="6"/>
    <n v="5"/>
    <n v="120"/>
    <n v="0"/>
    <n v="0"/>
    <n v="0"/>
    <n v="1"/>
    <n v="0"/>
    <n v="3"/>
    <n v="6"/>
    <n v="0"/>
    <n v="59"/>
    <n v="1"/>
    <d v="2023-01-01T00:00:00"/>
    <n v="59"/>
    <n v="9.83"/>
    <n v="36"/>
    <n v="0"/>
    <n v="0"/>
    <n v="0"/>
    <n v="0"/>
    <n v="15"/>
    <n v="59"/>
  </r>
  <r>
    <x v="3"/>
    <x v="149"/>
    <x v="2"/>
    <n v="1"/>
    <n v="1"/>
    <n v="1"/>
    <n v="4"/>
    <s v="4*"/>
    <s v="-"/>
    <n v="5"/>
    <n v="80"/>
    <n v="0"/>
    <n v="0"/>
    <n v="0"/>
    <n v="0"/>
    <n v="0"/>
    <n v="1"/>
    <n v="4"/>
    <n v="0"/>
    <n v="47"/>
    <n v="0"/>
    <s v="-"/>
    <s v="-"/>
    <n v="11.75"/>
    <s v="-"/>
    <n v="0"/>
    <n v="0"/>
    <n v="0"/>
    <n v="0"/>
    <n v="10"/>
    <e v="#DIV/0!"/>
  </r>
  <r>
    <x v="3"/>
    <x v="150"/>
    <x v="3"/>
    <n v="1"/>
    <n v="1"/>
    <n v="0"/>
    <n v="15"/>
    <n v="15"/>
    <n v="15"/>
    <n v="13"/>
    <n v="115.38"/>
    <n v="0"/>
    <n v="0"/>
    <n v="0"/>
    <n v="1"/>
    <n v="1"/>
    <s v="-"/>
    <s v="-"/>
    <s v="-"/>
    <s v="-"/>
    <s v="-"/>
    <s v="-"/>
    <s v="-"/>
    <s v="-"/>
    <s v="-"/>
    <s v="-"/>
    <s v="-"/>
    <n v="0"/>
    <n v="0"/>
    <n v="16"/>
    <e v="#VALUE!"/>
  </r>
  <r>
    <x v="3"/>
    <x v="151"/>
    <x v="3"/>
    <n v="3"/>
    <n v="2"/>
    <n v="2"/>
    <n v="15"/>
    <s v="15*"/>
    <s v="-"/>
    <n v="13"/>
    <n v="115.38"/>
    <n v="0"/>
    <n v="0"/>
    <n v="0"/>
    <n v="2"/>
    <n v="0"/>
    <n v="3"/>
    <n v="8.4"/>
    <n v="1"/>
    <n v="87"/>
    <n v="6"/>
    <d v="2020-12-06T00:00:00"/>
    <n v="14.5"/>
    <n v="10.029999999999999"/>
    <n v="8.6"/>
    <n v="0"/>
    <n v="1"/>
    <n v="1"/>
    <n v="0"/>
    <n v="14"/>
    <n v="14.5"/>
  </r>
  <r>
    <x v="3"/>
    <x v="152"/>
    <x v="3"/>
    <n v="1"/>
    <n v="1"/>
    <n v="1"/>
    <n v="5"/>
    <s v="5*"/>
    <s v="-"/>
    <n v="4"/>
    <n v="125"/>
    <n v="0"/>
    <n v="0"/>
    <n v="0"/>
    <n v="0"/>
    <n v="0"/>
    <n v="1"/>
    <n v="4"/>
    <n v="0"/>
    <n v="42"/>
    <n v="0"/>
    <s v="-"/>
    <s v="-"/>
    <n v="10.5"/>
    <s v="-"/>
    <n v="0"/>
    <n v="0"/>
    <n v="1"/>
    <n v="0"/>
    <n v="10"/>
    <e v="#DIV/0!"/>
  </r>
  <r>
    <x v="3"/>
    <x v="153"/>
    <x v="3"/>
    <n v="5"/>
    <s v="-"/>
    <s v="-"/>
    <s v="-"/>
    <s v="-"/>
    <s v="-"/>
    <s v="-"/>
    <s v="-"/>
    <s v="-"/>
    <s v="-"/>
    <s v="-"/>
    <s v="-"/>
    <s v="-"/>
    <n v="5"/>
    <n v="19"/>
    <n v="0"/>
    <n v="165"/>
    <n v="5"/>
    <d v="2022-02-01T00:00:00"/>
    <n v="33"/>
    <n v="8.68"/>
    <n v="22.8"/>
    <n v="0"/>
    <n v="0"/>
    <n v="0"/>
    <n v="0"/>
    <n v="3"/>
    <n v="33"/>
  </r>
  <r>
    <x v="3"/>
    <x v="154"/>
    <x v="3"/>
    <n v="1"/>
    <s v="-"/>
    <s v="-"/>
    <s v="-"/>
    <s v="-"/>
    <s v="-"/>
    <s v="-"/>
    <s v="-"/>
    <s v="-"/>
    <s v="-"/>
    <s v="-"/>
    <s v="-"/>
    <s v="-"/>
    <n v="1"/>
    <n v="2"/>
    <n v="0"/>
    <n v="11"/>
    <n v="1"/>
    <d v="2020-11-01T00:00:00"/>
    <n v="11"/>
    <n v="5.5"/>
    <n v="12"/>
    <n v="0"/>
    <n v="0"/>
    <n v="0"/>
    <n v="0"/>
    <n v="5"/>
    <n v="11"/>
  </r>
  <r>
    <x v="4"/>
    <x v="2"/>
    <x v="2"/>
    <n v="8"/>
    <n v="8"/>
    <n v="0"/>
    <n v="201"/>
    <n v="53"/>
    <n v="25.12"/>
    <n v="162"/>
    <n v="124.07"/>
    <n v="0"/>
    <n v="1"/>
    <n v="0"/>
    <n v="20"/>
    <n v="8"/>
    <s v="-"/>
    <s v="-"/>
    <s v="-"/>
    <s v="-"/>
    <s v="-"/>
    <s v="-"/>
    <s v="-"/>
    <s v="-"/>
    <s v="-"/>
    <s v="-"/>
    <s v="-"/>
    <n v="7"/>
    <n v="3"/>
    <n v="4"/>
    <e v="#VALUE!"/>
  </r>
  <r>
    <x v="4"/>
    <x v="4"/>
    <x v="1"/>
    <n v="12"/>
    <n v="10"/>
    <n v="2"/>
    <n v="144"/>
    <n v="35"/>
    <n v="18"/>
    <n v="111"/>
    <n v="129.72"/>
    <n v="0"/>
    <n v="0"/>
    <n v="0"/>
    <n v="10"/>
    <n v="7"/>
    <n v="12"/>
    <n v="32.1"/>
    <n v="0"/>
    <n v="197"/>
    <n v="16"/>
    <d v="2020-10-03T00:00:00"/>
    <n v="12.31"/>
    <n v="6.12"/>
    <n v="12"/>
    <n v="0"/>
    <n v="0"/>
    <n v="3"/>
    <n v="0"/>
    <n v="4"/>
    <n v="12.3125"/>
  </r>
  <r>
    <x v="4"/>
    <x v="4"/>
    <x v="2"/>
    <n v="2"/>
    <n v="2"/>
    <n v="0"/>
    <n v="3"/>
    <n v="3"/>
    <n v="1.5"/>
    <n v="5"/>
    <n v="60"/>
    <n v="0"/>
    <n v="0"/>
    <n v="1"/>
    <n v="0"/>
    <n v="0"/>
    <n v="2"/>
    <n v="4"/>
    <n v="0"/>
    <n v="49"/>
    <n v="1"/>
    <d v="1936-01-01T00:00:00"/>
    <n v="49"/>
    <n v="12.25"/>
    <n v="24"/>
    <n v="0"/>
    <n v="0"/>
    <n v="0"/>
    <n v="0"/>
    <n v="18"/>
    <n v="49"/>
  </r>
  <r>
    <x v="4"/>
    <x v="4"/>
    <x v="3"/>
    <n v="7"/>
    <n v="4"/>
    <n v="0"/>
    <n v="9"/>
    <n v="5"/>
    <n v="2.25"/>
    <n v="12"/>
    <n v="75"/>
    <n v="0"/>
    <n v="0"/>
    <n v="2"/>
    <n v="1"/>
    <n v="0"/>
    <n v="4"/>
    <n v="11.1"/>
    <n v="0"/>
    <n v="102"/>
    <n v="3"/>
    <d v="2021-02-01T00:00:00"/>
    <n v="34"/>
    <n v="9.1300000000000008"/>
    <n v="22.3"/>
    <n v="0"/>
    <n v="0"/>
    <n v="3"/>
    <n v="0"/>
    <n v="6"/>
    <n v="34"/>
  </r>
  <r>
    <x v="4"/>
    <x v="41"/>
    <x v="3"/>
    <n v="10"/>
    <n v="10"/>
    <n v="6"/>
    <n v="211"/>
    <s v="46*"/>
    <n v="52.75"/>
    <n v="156"/>
    <n v="135.25"/>
    <n v="0"/>
    <n v="0"/>
    <n v="2"/>
    <n v="14"/>
    <n v="10"/>
    <n v="6"/>
    <n v="16.399999999999999"/>
    <n v="0"/>
    <n v="145"/>
    <n v="2"/>
    <d v="2013-01-01T00:00:00"/>
    <n v="72.5"/>
    <n v="8.6999999999999993"/>
    <n v="50"/>
    <n v="0"/>
    <n v="0"/>
    <n v="2"/>
    <n v="0"/>
    <n v="9"/>
    <n v="72.5"/>
  </r>
  <r>
    <x v="4"/>
    <x v="46"/>
    <x v="2"/>
    <n v="4"/>
    <n v="4"/>
    <n v="0"/>
    <n v="55"/>
    <n v="45"/>
    <n v="13.75"/>
    <n v="47"/>
    <n v="117.02"/>
    <n v="0"/>
    <n v="0"/>
    <n v="1"/>
    <n v="2"/>
    <n v="4"/>
    <s v="-"/>
    <s v="-"/>
    <s v="-"/>
    <s v="-"/>
    <s v="-"/>
    <s v="-"/>
    <s v="-"/>
    <s v="-"/>
    <s v="-"/>
    <s v="-"/>
    <s v="-"/>
    <n v="0"/>
    <n v="0"/>
    <n v="12"/>
    <e v="#VALUE!"/>
  </r>
  <r>
    <x v="4"/>
    <x v="47"/>
    <x v="3"/>
    <n v="3"/>
    <n v="3"/>
    <n v="0"/>
    <n v="98"/>
    <n v="65"/>
    <n v="32.659999999999997"/>
    <n v="70"/>
    <n v="140"/>
    <n v="0"/>
    <n v="1"/>
    <n v="0"/>
    <n v="11"/>
    <n v="2"/>
    <s v="-"/>
    <s v="-"/>
    <s v="-"/>
    <s v="-"/>
    <s v="-"/>
    <s v="-"/>
    <s v="-"/>
    <s v="-"/>
    <s v="-"/>
    <s v="-"/>
    <s v="-"/>
    <n v="1"/>
    <n v="0"/>
    <n v="13"/>
    <e v="#VALUE!"/>
  </r>
  <r>
    <x v="4"/>
    <x v="96"/>
    <x v="2"/>
    <n v="14"/>
    <n v="5"/>
    <n v="1"/>
    <n v="3"/>
    <s v="1*"/>
    <n v="0.75"/>
    <n v="11"/>
    <n v="27.27"/>
    <n v="0"/>
    <n v="0"/>
    <n v="2"/>
    <n v="0"/>
    <n v="0"/>
    <n v="14"/>
    <n v="53.1"/>
    <n v="1"/>
    <n v="418"/>
    <n v="20"/>
    <d v="2023-03-01T00:00:00"/>
    <n v="20.9"/>
    <n v="7.86"/>
    <n v="15.9"/>
    <n v="0"/>
    <n v="0"/>
    <n v="2"/>
    <n v="0"/>
    <n v="16"/>
    <n v="20.9"/>
  </r>
  <r>
    <x v="4"/>
    <x v="96"/>
    <x v="3"/>
    <n v="11"/>
    <n v="7"/>
    <n v="5"/>
    <n v="25"/>
    <n v="14"/>
    <n v="12.5"/>
    <n v="25"/>
    <n v="100"/>
    <n v="0"/>
    <n v="0"/>
    <n v="0"/>
    <n v="3"/>
    <n v="1"/>
    <n v="11"/>
    <n v="37.5"/>
    <n v="0"/>
    <n v="371"/>
    <n v="8"/>
    <d v="1936-03-01T00:00:00"/>
    <n v="46.37"/>
    <n v="9.8000000000000007"/>
    <n v="28.3"/>
    <n v="0"/>
    <n v="0"/>
    <n v="4"/>
    <n v="0"/>
    <n v="5"/>
    <n v="46.375"/>
  </r>
  <r>
    <x v="4"/>
    <x v="130"/>
    <x v="2"/>
    <n v="6"/>
    <n v="6"/>
    <n v="1"/>
    <n v="153"/>
    <n v="53"/>
    <n v="30.6"/>
    <n v="109"/>
    <n v="140.36000000000001"/>
    <n v="0"/>
    <n v="1"/>
    <n v="0"/>
    <n v="20"/>
    <n v="4"/>
    <s v="-"/>
    <s v="-"/>
    <s v="-"/>
    <s v="-"/>
    <s v="-"/>
    <s v="-"/>
    <s v="-"/>
    <s v="-"/>
    <s v="-"/>
    <s v="-"/>
    <s v="-"/>
    <n v="3"/>
    <n v="0"/>
    <n v="17"/>
    <e v="#VALUE!"/>
  </r>
  <r>
    <x v="4"/>
    <x v="130"/>
    <x v="3"/>
    <n v="14"/>
    <n v="14"/>
    <n v="0"/>
    <n v="373"/>
    <n v="67"/>
    <n v="26.64"/>
    <n v="268"/>
    <n v="139.16999999999999"/>
    <n v="0"/>
    <n v="2"/>
    <n v="1"/>
    <n v="48"/>
    <n v="10"/>
    <s v="-"/>
    <s v="-"/>
    <s v="-"/>
    <s v="-"/>
    <s v="-"/>
    <s v="-"/>
    <s v="-"/>
    <s v="-"/>
    <s v="-"/>
    <s v="-"/>
    <s v="-"/>
    <n v="6"/>
    <n v="2"/>
    <n v="6"/>
    <e v="#VALUE!"/>
  </r>
  <r>
    <x v="4"/>
    <x v="132"/>
    <x v="2"/>
    <n v="8"/>
    <n v="4"/>
    <n v="2"/>
    <n v="52"/>
    <s v="36*"/>
    <n v="26"/>
    <n v="46"/>
    <n v="113.04"/>
    <n v="0"/>
    <n v="0"/>
    <n v="0"/>
    <n v="5"/>
    <n v="1"/>
    <n v="8"/>
    <n v="29"/>
    <n v="0"/>
    <n v="261"/>
    <n v="5"/>
    <d v="1930-03-01T00:00:00"/>
    <n v="52.2"/>
    <n v="9"/>
    <n v="34.799999999999997"/>
    <n v="0"/>
    <n v="0"/>
    <n v="3"/>
    <n v="0"/>
    <n v="12"/>
    <n v="52.2"/>
  </r>
  <r>
    <x v="4"/>
    <x v="132"/>
    <x v="3"/>
    <n v="3"/>
    <n v="1"/>
    <n v="1"/>
    <n v="9"/>
    <s v="9*"/>
    <s v="-"/>
    <n v="9"/>
    <n v="100"/>
    <n v="0"/>
    <n v="0"/>
    <n v="0"/>
    <n v="0"/>
    <n v="0"/>
    <n v="3"/>
    <n v="9"/>
    <n v="0"/>
    <n v="118"/>
    <n v="1"/>
    <d v="2024-01-01T00:00:00"/>
    <n v="118"/>
    <n v="13.11"/>
    <n v="54"/>
    <n v="0"/>
    <n v="0"/>
    <n v="3"/>
    <n v="0"/>
    <n v="11"/>
    <n v="118"/>
  </r>
  <r>
    <x v="4"/>
    <x v="155"/>
    <x v="0"/>
    <n v="16"/>
    <n v="16"/>
    <n v="4"/>
    <n v="973"/>
    <n v="113"/>
    <n v="81.08"/>
    <n v="640"/>
    <n v="152.03"/>
    <n v="4"/>
    <n v="7"/>
    <n v="1"/>
    <n v="83"/>
    <n v="38"/>
    <n v="1"/>
    <n v="1"/>
    <n v="0"/>
    <n v="13"/>
    <n v="0"/>
    <s v="-"/>
    <s v="-"/>
    <n v="13"/>
    <s v="-"/>
    <n v="0"/>
    <n v="0"/>
    <n v="6"/>
    <n v="0"/>
    <n v="4"/>
    <e v="#DIV/0!"/>
  </r>
  <r>
    <x v="4"/>
    <x v="155"/>
    <x v="1"/>
    <n v="10"/>
    <n v="10"/>
    <n v="0"/>
    <n v="308"/>
    <n v="64"/>
    <n v="30.8"/>
    <n v="252"/>
    <n v="122.22"/>
    <n v="0"/>
    <n v="4"/>
    <n v="1"/>
    <n v="23"/>
    <n v="11"/>
    <s v="-"/>
    <s v="-"/>
    <s v="-"/>
    <s v="-"/>
    <s v="-"/>
    <s v="-"/>
    <s v="-"/>
    <s v="-"/>
    <s v="-"/>
    <s v="-"/>
    <s v="-"/>
    <n v="5"/>
    <n v="0"/>
    <n v="11"/>
    <e v="#VALUE!"/>
  </r>
  <r>
    <x v="4"/>
    <x v="155"/>
    <x v="2"/>
    <n v="14"/>
    <n v="14"/>
    <n v="3"/>
    <n v="530"/>
    <s v="92*"/>
    <n v="48.18"/>
    <n v="381"/>
    <n v="139.1"/>
    <n v="0"/>
    <n v="4"/>
    <n v="0"/>
    <n v="52"/>
    <n v="18"/>
    <s v="-"/>
    <s v="-"/>
    <s v="-"/>
    <s v="-"/>
    <s v="-"/>
    <s v="-"/>
    <s v="-"/>
    <s v="-"/>
    <s v="-"/>
    <s v="-"/>
    <s v="-"/>
    <n v="8"/>
    <n v="0"/>
    <n v="12"/>
    <e v="#VALUE!"/>
  </r>
  <r>
    <x v="4"/>
    <x v="155"/>
    <x v="3"/>
    <n v="14"/>
    <n v="14"/>
    <n v="0"/>
    <n v="464"/>
    <n v="100"/>
    <n v="33.14"/>
    <n v="328"/>
    <n v="141.46"/>
    <n v="1"/>
    <n v="2"/>
    <n v="0"/>
    <n v="46"/>
    <n v="13"/>
    <s v="-"/>
    <s v="-"/>
    <s v="-"/>
    <s v="-"/>
    <s v="-"/>
    <s v="-"/>
    <s v="-"/>
    <s v="-"/>
    <s v="-"/>
    <s v="-"/>
    <s v="-"/>
    <n v="5"/>
    <n v="0"/>
    <n v="18"/>
    <e v="#VALUE!"/>
  </r>
  <r>
    <x v="4"/>
    <x v="156"/>
    <x v="0"/>
    <n v="16"/>
    <n v="16"/>
    <n v="3"/>
    <n v="687"/>
    <s v="129*"/>
    <n v="52.84"/>
    <n v="407"/>
    <n v="168.79"/>
    <n v="1"/>
    <n v="6"/>
    <n v="1"/>
    <n v="57"/>
    <n v="37"/>
    <s v="-"/>
    <s v="-"/>
    <s v="-"/>
    <s v="-"/>
    <s v="-"/>
    <s v="-"/>
    <s v="-"/>
    <s v="-"/>
    <s v="-"/>
    <s v="-"/>
    <s v="-"/>
    <n v="19"/>
    <n v="0"/>
    <n v="4"/>
    <e v="#VALUE!"/>
  </r>
  <r>
    <x v="4"/>
    <x v="156"/>
    <x v="1"/>
    <n v="9"/>
    <n v="9"/>
    <n v="1"/>
    <n v="216"/>
    <s v="89*"/>
    <n v="27"/>
    <n v="163"/>
    <n v="132.51"/>
    <n v="0"/>
    <n v="1"/>
    <n v="0"/>
    <n v="12"/>
    <n v="16"/>
    <s v="-"/>
    <s v="-"/>
    <s v="-"/>
    <s v="-"/>
    <s v="-"/>
    <s v="-"/>
    <s v="-"/>
    <s v="-"/>
    <s v="-"/>
    <s v="-"/>
    <s v="-"/>
    <n v="6"/>
    <n v="0"/>
    <n v="13"/>
    <e v="#VALUE!"/>
  </r>
  <r>
    <x v="4"/>
    <x v="156"/>
    <x v="2"/>
    <n v="12"/>
    <n v="11"/>
    <n v="2"/>
    <n v="480"/>
    <s v="90*"/>
    <n v="53.33"/>
    <n v="275"/>
    <n v="174.54"/>
    <n v="0"/>
    <n v="6"/>
    <n v="0"/>
    <n v="39"/>
    <n v="30"/>
    <s v="-"/>
    <s v="-"/>
    <s v="-"/>
    <s v="-"/>
    <s v="-"/>
    <s v="-"/>
    <s v="-"/>
    <s v="-"/>
    <s v="-"/>
    <s v="-"/>
    <s v="-"/>
    <n v="6"/>
    <n v="0"/>
    <n v="9"/>
    <e v="#VALUE!"/>
  </r>
  <r>
    <x v="4"/>
    <x v="156"/>
    <x v="3"/>
    <n v="13"/>
    <n v="13"/>
    <n v="3"/>
    <n v="442"/>
    <s v="82*"/>
    <n v="44.2"/>
    <n v="287"/>
    <n v="154"/>
    <n v="0"/>
    <n v="5"/>
    <n v="0"/>
    <n v="31"/>
    <n v="26"/>
    <s v="-"/>
    <s v="-"/>
    <s v="-"/>
    <s v="-"/>
    <s v="-"/>
    <s v="-"/>
    <s v="-"/>
    <s v="-"/>
    <s v="-"/>
    <s v="-"/>
    <s v="-"/>
    <n v="6"/>
    <n v="0"/>
    <n v="10"/>
    <e v="#VALUE!"/>
  </r>
  <r>
    <x v="4"/>
    <x v="63"/>
    <x v="0"/>
    <n v="14"/>
    <n v="12"/>
    <n v="3"/>
    <n v="397"/>
    <s v="68*"/>
    <n v="44.11"/>
    <n v="271"/>
    <n v="146.49"/>
    <n v="0"/>
    <n v="4"/>
    <n v="1"/>
    <n v="37"/>
    <n v="16"/>
    <s v="-"/>
    <s v="-"/>
    <s v="-"/>
    <s v="-"/>
    <s v="-"/>
    <s v="-"/>
    <s v="-"/>
    <s v="-"/>
    <s v="-"/>
    <s v="-"/>
    <s v="-"/>
    <n v="5"/>
    <n v="4"/>
    <n v="12"/>
    <e v="#VALUE!"/>
  </r>
  <r>
    <x v="4"/>
    <x v="64"/>
    <x v="0"/>
    <n v="5"/>
    <n v="4"/>
    <n v="2"/>
    <n v="66"/>
    <s v="35*"/>
    <n v="33"/>
    <n v="31"/>
    <n v="212.9"/>
    <n v="0"/>
    <n v="0"/>
    <n v="0"/>
    <n v="7"/>
    <n v="4"/>
    <s v="-"/>
    <s v="-"/>
    <s v="-"/>
    <s v="-"/>
    <s v="-"/>
    <s v="-"/>
    <s v="-"/>
    <s v="-"/>
    <s v="-"/>
    <s v="-"/>
    <s v="-"/>
    <n v="0"/>
    <n v="0"/>
    <n v="11"/>
    <e v="#VALUE!"/>
  </r>
  <r>
    <x v="4"/>
    <x v="64"/>
    <x v="2"/>
    <n v="7"/>
    <n v="6"/>
    <n v="1"/>
    <n v="51"/>
    <s v="22*"/>
    <n v="10.199999999999999"/>
    <n v="41"/>
    <n v="124.39"/>
    <n v="0"/>
    <n v="0"/>
    <n v="1"/>
    <n v="7"/>
    <n v="1"/>
    <s v="-"/>
    <s v="-"/>
    <s v="-"/>
    <s v="-"/>
    <s v="-"/>
    <s v="-"/>
    <s v="-"/>
    <s v="-"/>
    <s v="-"/>
    <s v="-"/>
    <s v="-"/>
    <n v="2"/>
    <n v="0"/>
    <n v="10"/>
    <e v="#VALUE!"/>
  </r>
  <r>
    <x v="4"/>
    <x v="157"/>
    <x v="0"/>
    <n v="11"/>
    <n v="6"/>
    <n v="2"/>
    <n v="119"/>
    <n v="33"/>
    <n v="29.75"/>
    <n v="79"/>
    <n v="150.63"/>
    <n v="0"/>
    <n v="0"/>
    <n v="1"/>
    <n v="9"/>
    <n v="5"/>
    <n v="2"/>
    <n v="1.4"/>
    <n v="0"/>
    <n v="8"/>
    <n v="2"/>
    <d v="2020-04-02T00:00:00"/>
    <n v="4"/>
    <n v="4.8"/>
    <n v="5"/>
    <n v="0"/>
    <n v="0"/>
    <n v="1"/>
    <n v="0"/>
    <n v="15"/>
    <n v="4"/>
  </r>
  <r>
    <x v="4"/>
    <x v="157"/>
    <x v="1"/>
    <n v="3"/>
    <n v="3"/>
    <n v="0"/>
    <n v="15"/>
    <n v="12"/>
    <n v="5"/>
    <n v="15"/>
    <n v="100"/>
    <n v="0"/>
    <n v="0"/>
    <n v="0"/>
    <n v="2"/>
    <n v="0"/>
    <s v="-"/>
    <s v="-"/>
    <s v="-"/>
    <s v="-"/>
    <s v="-"/>
    <s v="-"/>
    <s v="-"/>
    <s v="-"/>
    <s v="-"/>
    <s v="-"/>
    <s v="-"/>
    <n v="2"/>
    <n v="0"/>
    <n v="17"/>
    <e v="#VALUE!"/>
  </r>
  <r>
    <x v="4"/>
    <x v="158"/>
    <x v="0"/>
    <n v="3"/>
    <n v="3"/>
    <n v="1"/>
    <n v="54"/>
    <n v="37"/>
    <n v="27"/>
    <n v="40"/>
    <n v="135"/>
    <n v="0"/>
    <n v="0"/>
    <n v="0"/>
    <n v="3"/>
    <n v="2"/>
    <s v="-"/>
    <s v="-"/>
    <s v="-"/>
    <s v="-"/>
    <s v="-"/>
    <s v="-"/>
    <s v="-"/>
    <s v="-"/>
    <s v="-"/>
    <s v="-"/>
    <s v="-"/>
    <n v="0"/>
    <n v="0"/>
    <n v="6"/>
    <e v="#VALUE!"/>
  </r>
  <r>
    <x v="4"/>
    <x v="158"/>
    <x v="1"/>
    <n v="7"/>
    <n v="7"/>
    <n v="2"/>
    <n v="151"/>
    <s v="75*"/>
    <n v="30.2"/>
    <n v="108"/>
    <n v="139.81"/>
    <n v="0"/>
    <n v="1"/>
    <n v="1"/>
    <n v="9"/>
    <n v="6"/>
    <n v="5"/>
    <n v="8"/>
    <n v="0"/>
    <n v="81"/>
    <n v="2"/>
    <d v="1930-02-01T00:00:00"/>
    <n v="40.5"/>
    <n v="10.119999999999999"/>
    <n v="24"/>
    <n v="0"/>
    <n v="0"/>
    <n v="3"/>
    <n v="0"/>
    <n v="10"/>
    <n v="40.5"/>
  </r>
  <r>
    <x v="4"/>
    <x v="65"/>
    <x v="0"/>
    <n v="10"/>
    <n v="10"/>
    <n v="0"/>
    <n v="227"/>
    <n v="76"/>
    <n v="22.7"/>
    <n v="150"/>
    <n v="151.33000000000001"/>
    <n v="0"/>
    <n v="2"/>
    <n v="1"/>
    <n v="17"/>
    <n v="21"/>
    <n v="4"/>
    <n v="10"/>
    <n v="0"/>
    <n v="63"/>
    <n v="2"/>
    <d v="2020-11-02T00:00:00"/>
    <n v="31.5"/>
    <n v="6.3"/>
    <n v="30"/>
    <n v="0"/>
    <n v="0"/>
    <n v="4"/>
    <n v="0"/>
    <n v="8"/>
    <n v="31.5"/>
  </r>
  <r>
    <x v="4"/>
    <x v="65"/>
    <x v="1"/>
    <n v="9"/>
    <n v="9"/>
    <n v="0"/>
    <n v="200"/>
    <n v="77"/>
    <n v="22.22"/>
    <n v="163"/>
    <n v="122.69"/>
    <n v="0"/>
    <n v="1"/>
    <n v="2"/>
    <n v="15"/>
    <n v="14"/>
    <s v="-"/>
    <s v="-"/>
    <s v="-"/>
    <s v="-"/>
    <s v="-"/>
    <s v="-"/>
    <s v="-"/>
    <s v="-"/>
    <s v="-"/>
    <s v="-"/>
    <s v="-"/>
    <n v="2"/>
    <n v="0"/>
    <n v="10"/>
    <e v="#VALUE!"/>
  </r>
  <r>
    <x v="4"/>
    <x v="159"/>
    <x v="0"/>
    <n v="14"/>
    <n v="6"/>
    <n v="2"/>
    <n v="63"/>
    <n v="21"/>
    <n v="15.75"/>
    <n v="39"/>
    <n v="161.53"/>
    <n v="0"/>
    <n v="0"/>
    <n v="0"/>
    <n v="5"/>
    <n v="4"/>
    <n v="11"/>
    <n v="17"/>
    <n v="0"/>
    <n v="134"/>
    <n v="1"/>
    <d v="2017-01-01T00:00:00"/>
    <n v="134"/>
    <n v="7.88"/>
    <n v="102"/>
    <n v="0"/>
    <n v="0"/>
    <n v="3"/>
    <n v="0"/>
    <n v="14"/>
    <n v="134"/>
  </r>
  <r>
    <x v="4"/>
    <x v="159"/>
    <x v="1"/>
    <n v="8"/>
    <n v="7"/>
    <n v="2"/>
    <n v="78"/>
    <s v="18*"/>
    <n v="15.6"/>
    <n v="76"/>
    <n v="102.63"/>
    <n v="0"/>
    <n v="0"/>
    <n v="0"/>
    <n v="6"/>
    <n v="3"/>
    <n v="4"/>
    <n v="6"/>
    <n v="0"/>
    <n v="50"/>
    <n v="4"/>
    <d v="2020-09-01T00:00:00"/>
    <n v="12.5"/>
    <n v="8.33"/>
    <n v="9"/>
    <n v="0"/>
    <n v="0"/>
    <n v="1"/>
    <n v="0"/>
    <n v="12"/>
    <n v="12.5"/>
  </r>
  <r>
    <x v="4"/>
    <x v="160"/>
    <x v="0"/>
    <n v="16"/>
    <n v="15"/>
    <n v="2"/>
    <n v="179"/>
    <n v="36"/>
    <n v="13.76"/>
    <n v="134"/>
    <n v="133.58000000000001"/>
    <n v="0"/>
    <n v="0"/>
    <n v="1"/>
    <n v="14"/>
    <n v="12"/>
    <n v="16"/>
    <n v="56.3"/>
    <n v="0"/>
    <n v="485"/>
    <n v="20"/>
    <d v="2029-04-01T00:00:00"/>
    <n v="24.25"/>
    <n v="8.58"/>
    <n v="16.899999999999999"/>
    <n v="1"/>
    <n v="0"/>
    <n v="6"/>
    <n v="0"/>
    <n v="18"/>
    <n v="24.25"/>
  </r>
  <r>
    <x v="4"/>
    <x v="160"/>
    <x v="1"/>
    <n v="8"/>
    <n v="7"/>
    <n v="1"/>
    <n v="71"/>
    <n v="24"/>
    <n v="11.83"/>
    <n v="78"/>
    <n v="91.02"/>
    <n v="0"/>
    <n v="0"/>
    <n v="0"/>
    <n v="6"/>
    <n v="1"/>
    <n v="8"/>
    <n v="26.5"/>
    <n v="0"/>
    <n v="245"/>
    <n v="5"/>
    <d v="2016-01-01T00:00:00"/>
    <n v="49"/>
    <n v="9.1300000000000008"/>
    <n v="32.200000000000003"/>
    <n v="0"/>
    <n v="0"/>
    <n v="2"/>
    <n v="0"/>
    <n v="14"/>
    <n v="49"/>
  </r>
  <r>
    <x v="4"/>
    <x v="161"/>
    <x v="0"/>
    <n v="4"/>
    <n v="1"/>
    <n v="0"/>
    <n v="10"/>
    <n v="10"/>
    <n v="10"/>
    <n v="9"/>
    <n v="111.11"/>
    <n v="0"/>
    <n v="0"/>
    <n v="0"/>
    <n v="1"/>
    <n v="0"/>
    <n v="4"/>
    <n v="14"/>
    <n v="0"/>
    <n v="129"/>
    <n v="1"/>
    <d v="1931-01-01T00:00:00"/>
    <n v="129"/>
    <n v="9.2100000000000009"/>
    <n v="84"/>
    <n v="0"/>
    <n v="0"/>
    <n v="2"/>
    <n v="0"/>
    <n v="16"/>
    <n v="129"/>
  </r>
  <r>
    <x v="4"/>
    <x v="162"/>
    <x v="0"/>
    <n v="9"/>
    <n v="1"/>
    <n v="0"/>
    <n v="3"/>
    <n v="3"/>
    <n v="3"/>
    <n v="4"/>
    <n v="75"/>
    <n v="0"/>
    <n v="0"/>
    <n v="0"/>
    <n v="0"/>
    <n v="0"/>
    <n v="9"/>
    <n v="28"/>
    <n v="0"/>
    <n v="258"/>
    <n v="11"/>
    <d v="2020-11-04T00:00:00"/>
    <n v="23.45"/>
    <n v="9.2100000000000009"/>
    <n v="15.2"/>
    <n v="1"/>
    <n v="0"/>
    <n v="4"/>
    <n v="0"/>
    <n v="14"/>
    <n v="23.454545454545453"/>
  </r>
  <r>
    <x v="4"/>
    <x v="163"/>
    <x v="0"/>
    <n v="4"/>
    <n v="3"/>
    <n v="3"/>
    <n v="42"/>
    <s v="25*"/>
    <s v="-"/>
    <n v="32"/>
    <n v="131.25"/>
    <n v="0"/>
    <n v="0"/>
    <n v="0"/>
    <n v="2"/>
    <n v="2"/>
    <s v="-"/>
    <s v="-"/>
    <s v="-"/>
    <s v="-"/>
    <s v="-"/>
    <s v="-"/>
    <s v="-"/>
    <s v="-"/>
    <s v="-"/>
    <s v="-"/>
    <s v="-"/>
    <n v="1"/>
    <n v="0"/>
    <n v="5"/>
    <e v="#VALUE!"/>
  </r>
  <r>
    <x v="4"/>
    <x v="163"/>
    <x v="1"/>
    <n v="13"/>
    <n v="13"/>
    <n v="1"/>
    <n v="267"/>
    <n v="69"/>
    <n v="22.25"/>
    <n v="186"/>
    <n v="143.54"/>
    <n v="0"/>
    <n v="1"/>
    <n v="0"/>
    <n v="25"/>
    <n v="10"/>
    <s v="-"/>
    <s v="-"/>
    <s v="-"/>
    <s v="-"/>
    <s v="-"/>
    <s v="-"/>
    <s v="-"/>
    <s v="-"/>
    <s v="-"/>
    <s v="-"/>
    <s v="-"/>
    <n v="7"/>
    <n v="3"/>
    <n v="7"/>
    <e v="#VALUE!"/>
  </r>
  <r>
    <x v="4"/>
    <x v="164"/>
    <x v="0"/>
    <n v="8"/>
    <n v="2"/>
    <n v="2"/>
    <n v="37"/>
    <s v="33*"/>
    <s v="-"/>
    <n v="27"/>
    <n v="137.03"/>
    <n v="0"/>
    <n v="0"/>
    <n v="0"/>
    <n v="4"/>
    <n v="1"/>
    <n v="8"/>
    <n v="25"/>
    <n v="0"/>
    <n v="213"/>
    <n v="6"/>
    <d v="1940-03-01T00:00:00"/>
    <n v="35.5"/>
    <n v="8.52"/>
    <n v="25"/>
    <n v="0"/>
    <n v="0"/>
    <n v="4"/>
    <n v="0"/>
    <n v="6"/>
    <n v="35.5"/>
  </r>
  <r>
    <x v="4"/>
    <x v="164"/>
    <x v="1"/>
    <n v="2"/>
    <n v="1"/>
    <n v="1"/>
    <n v="5"/>
    <s v="5*"/>
    <s v="-"/>
    <n v="7"/>
    <n v="71.42"/>
    <n v="0"/>
    <n v="0"/>
    <n v="0"/>
    <n v="0"/>
    <n v="0"/>
    <n v="2"/>
    <n v="5"/>
    <n v="0"/>
    <n v="55"/>
    <n v="2"/>
    <d v="1936-02-01T00:00:00"/>
    <n v="27.5"/>
    <n v="11"/>
    <n v="15"/>
    <n v="0"/>
    <n v="0"/>
    <n v="0"/>
    <n v="0"/>
    <n v="10"/>
    <n v="27.5"/>
  </r>
  <r>
    <x v="4"/>
    <x v="165"/>
    <x v="0"/>
    <n v="1"/>
    <n v="1"/>
    <n v="1"/>
    <n v="5"/>
    <s v="5*"/>
    <s v="-"/>
    <n v="4"/>
    <n v="125"/>
    <n v="0"/>
    <n v="0"/>
    <n v="0"/>
    <n v="0"/>
    <n v="0"/>
    <n v="1"/>
    <n v="4"/>
    <n v="0"/>
    <n v="49"/>
    <n v="0"/>
    <s v="-"/>
    <s v="-"/>
    <n v="12.25"/>
    <s v="-"/>
    <n v="0"/>
    <n v="0"/>
    <n v="1"/>
    <n v="0"/>
    <n v="14"/>
    <e v="#DIV/0!"/>
  </r>
  <r>
    <x v="4"/>
    <x v="166"/>
    <x v="0"/>
    <n v="4"/>
    <n v="1"/>
    <n v="1"/>
    <n v="1"/>
    <s v="1*"/>
    <s v="-"/>
    <n v="1"/>
    <n v="100"/>
    <n v="0"/>
    <n v="0"/>
    <n v="0"/>
    <n v="0"/>
    <n v="0"/>
    <n v="4"/>
    <n v="14"/>
    <n v="0"/>
    <n v="136"/>
    <n v="7"/>
    <d v="2013-03-01T00:00:00"/>
    <n v="19.420000000000002"/>
    <n v="9.7100000000000009"/>
    <n v="12"/>
    <n v="0"/>
    <n v="0"/>
    <n v="2"/>
    <n v="0"/>
    <n v="12"/>
    <n v="19.428571428571427"/>
  </r>
  <r>
    <x v="4"/>
    <x v="66"/>
    <x v="0"/>
    <n v="8"/>
    <n v="1"/>
    <n v="1"/>
    <n v="0"/>
    <s v="0*"/>
    <s v="-"/>
    <n v="0"/>
    <s v="-"/>
    <n v="0"/>
    <n v="0"/>
    <n v="0"/>
    <n v="0"/>
    <n v="0"/>
    <n v="8"/>
    <n v="23.4"/>
    <n v="0"/>
    <n v="227"/>
    <n v="2"/>
    <d v="1937-02-01T00:00:00"/>
    <n v="113.5"/>
    <n v="9.59"/>
    <n v="71"/>
    <n v="0"/>
    <n v="0"/>
    <n v="0"/>
    <n v="0"/>
    <n v="12"/>
    <n v="113.5"/>
  </r>
  <r>
    <x v="4"/>
    <x v="21"/>
    <x v="0"/>
    <n v="5"/>
    <n v="1"/>
    <n v="1"/>
    <n v="0"/>
    <s v="0*"/>
    <s v="-"/>
    <n v="0"/>
    <s v="-"/>
    <n v="0"/>
    <n v="0"/>
    <n v="0"/>
    <n v="0"/>
    <n v="0"/>
    <n v="5"/>
    <n v="14"/>
    <n v="0"/>
    <n v="147"/>
    <n v="1"/>
    <d v="1946-01-01T00:00:00"/>
    <n v="147"/>
    <n v="10.5"/>
    <n v="84"/>
    <n v="0"/>
    <n v="0"/>
    <n v="2"/>
    <n v="0"/>
    <n v="8"/>
    <n v="147"/>
  </r>
  <r>
    <x v="4"/>
    <x v="21"/>
    <x v="1"/>
    <n v="1"/>
    <s v="-"/>
    <s v="-"/>
    <s v="-"/>
    <s v="-"/>
    <s v="-"/>
    <s v="-"/>
    <s v="-"/>
    <s v="-"/>
    <s v="-"/>
    <s v="-"/>
    <s v="-"/>
    <s v="-"/>
    <n v="1"/>
    <n v="4"/>
    <n v="0"/>
    <n v="43"/>
    <n v="3"/>
    <d v="1943-03-01T00:00:00"/>
    <n v="14.33"/>
    <n v="10.75"/>
    <n v="8"/>
    <n v="0"/>
    <n v="0"/>
    <n v="0"/>
    <n v="0"/>
    <n v="14"/>
    <n v="14.333333333333334"/>
  </r>
  <r>
    <x v="4"/>
    <x v="167"/>
    <x v="0"/>
    <n v="9"/>
    <s v="-"/>
    <s v="-"/>
    <s v="-"/>
    <s v="-"/>
    <s v="-"/>
    <s v="-"/>
    <s v="-"/>
    <s v="-"/>
    <s v="-"/>
    <s v="-"/>
    <s v="-"/>
    <s v="-"/>
    <n v="9"/>
    <n v="29.1"/>
    <n v="0"/>
    <n v="216"/>
    <n v="11"/>
    <d v="2018-02-01T00:00:00"/>
    <n v="19.63"/>
    <n v="7.4"/>
    <n v="15.9"/>
    <n v="0"/>
    <n v="0"/>
    <n v="3"/>
    <n v="0"/>
    <n v="14"/>
    <n v="19.636363636363637"/>
  </r>
  <r>
    <x v="4"/>
    <x v="167"/>
    <x v="1"/>
    <n v="10"/>
    <n v="8"/>
    <n v="4"/>
    <n v="32"/>
    <n v="9"/>
    <n v="8"/>
    <n v="40"/>
    <n v="80"/>
    <n v="0"/>
    <n v="0"/>
    <n v="2"/>
    <n v="2"/>
    <n v="0"/>
    <n v="10"/>
    <n v="30.3"/>
    <n v="0"/>
    <n v="275"/>
    <n v="5"/>
    <d v="2029-02-01T00:00:00"/>
    <n v="55"/>
    <n v="9.01"/>
    <n v="36.6"/>
    <n v="0"/>
    <n v="0"/>
    <n v="1"/>
    <n v="0"/>
    <n v="9"/>
    <n v="55"/>
  </r>
  <r>
    <x v="4"/>
    <x v="168"/>
    <x v="0"/>
    <n v="13"/>
    <s v="-"/>
    <s v="-"/>
    <s v="-"/>
    <s v="-"/>
    <s v="-"/>
    <s v="-"/>
    <s v="-"/>
    <s v="-"/>
    <s v="-"/>
    <s v="-"/>
    <s v="-"/>
    <s v="-"/>
    <n v="13"/>
    <n v="49.1"/>
    <n v="0"/>
    <n v="401"/>
    <n v="21"/>
    <d v="2025-04-01T00:00:00"/>
    <n v="19.09"/>
    <n v="8.15"/>
    <n v="14"/>
    <n v="1"/>
    <n v="0"/>
    <n v="4"/>
    <n v="0"/>
    <n v="10"/>
    <n v="19.095238095238095"/>
  </r>
  <r>
    <x v="4"/>
    <x v="168"/>
    <x v="1"/>
    <n v="13"/>
    <n v="6"/>
    <n v="3"/>
    <n v="13"/>
    <s v="4*"/>
    <n v="4.33"/>
    <n v="26"/>
    <n v="50"/>
    <n v="0"/>
    <n v="0"/>
    <n v="1"/>
    <n v="0"/>
    <n v="0"/>
    <n v="13"/>
    <n v="43.3"/>
    <n v="0"/>
    <n v="333"/>
    <n v="14"/>
    <d v="2016-03-01T00:00:00"/>
    <n v="23.78"/>
    <n v="7.65"/>
    <n v="18.600000000000001"/>
    <n v="0"/>
    <n v="0"/>
    <n v="3"/>
    <n v="0"/>
    <n v="4"/>
    <n v="23.785714285714285"/>
  </r>
  <r>
    <x v="4"/>
    <x v="168"/>
    <x v="2"/>
    <n v="14"/>
    <n v="1"/>
    <n v="1"/>
    <n v="0"/>
    <s v="0*"/>
    <s v="-"/>
    <n v="4"/>
    <n v="0"/>
    <n v="0"/>
    <n v="0"/>
    <n v="0"/>
    <n v="0"/>
    <n v="0"/>
    <n v="14"/>
    <n v="50"/>
    <n v="1"/>
    <n v="363"/>
    <n v="12"/>
    <d v="2022-02-01T00:00:00"/>
    <n v="30.25"/>
    <n v="7.26"/>
    <n v="25"/>
    <n v="0"/>
    <n v="0"/>
    <n v="2"/>
    <n v="0"/>
    <n v="4"/>
    <n v="30.25"/>
  </r>
  <r>
    <x v="4"/>
    <x v="168"/>
    <x v="3"/>
    <n v="14"/>
    <n v="3"/>
    <n v="1"/>
    <n v="6"/>
    <n v="4"/>
    <n v="3"/>
    <n v="16"/>
    <n v="37.5"/>
    <n v="0"/>
    <n v="0"/>
    <n v="0"/>
    <n v="0"/>
    <n v="0"/>
    <n v="14"/>
    <n v="49.2"/>
    <n v="1"/>
    <n v="386"/>
    <n v="18"/>
    <d v="1938-04-01T00:00:00"/>
    <n v="21.44"/>
    <n v="7.82"/>
    <n v="16.399999999999999"/>
    <n v="1"/>
    <n v="0"/>
    <n v="3"/>
    <n v="0"/>
    <n v="5"/>
    <n v="21.444444444444443"/>
  </r>
  <r>
    <x v="4"/>
    <x v="67"/>
    <x v="0"/>
    <n v="1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n v="1"/>
    <n v="0"/>
    <n v="14"/>
    <e v="#VALUE!"/>
  </r>
  <r>
    <x v="4"/>
    <x v="67"/>
    <x v="1"/>
    <n v="11"/>
    <n v="10"/>
    <n v="0"/>
    <n v="188"/>
    <n v="52"/>
    <n v="18.8"/>
    <n v="177"/>
    <n v="106.21"/>
    <n v="0"/>
    <n v="1"/>
    <n v="2"/>
    <n v="21"/>
    <n v="4"/>
    <s v="-"/>
    <s v="-"/>
    <s v="-"/>
    <s v="-"/>
    <s v="-"/>
    <s v="-"/>
    <s v="-"/>
    <s v="-"/>
    <s v="-"/>
    <s v="-"/>
    <s v="-"/>
    <n v="6"/>
    <n v="0"/>
    <n v="9"/>
    <e v="#VALUE!"/>
  </r>
  <r>
    <x v="4"/>
    <x v="67"/>
    <x v="2"/>
    <n v="14"/>
    <n v="13"/>
    <n v="3"/>
    <n v="252"/>
    <s v="47*"/>
    <n v="25.2"/>
    <n v="186"/>
    <n v="135.47999999999999"/>
    <n v="0"/>
    <n v="0"/>
    <n v="0"/>
    <n v="16"/>
    <n v="11"/>
    <s v="-"/>
    <s v="-"/>
    <s v="-"/>
    <s v="-"/>
    <s v="-"/>
    <s v="-"/>
    <s v="-"/>
    <s v="-"/>
    <s v="-"/>
    <s v="-"/>
    <s v="-"/>
    <n v="4"/>
    <n v="0"/>
    <n v="13"/>
    <e v="#VALUE!"/>
  </r>
  <r>
    <x v="4"/>
    <x v="169"/>
    <x v="0"/>
    <n v="1"/>
    <s v="-"/>
    <s v="-"/>
    <s v="-"/>
    <s v="-"/>
    <s v="-"/>
    <s v="-"/>
    <s v="-"/>
    <s v="-"/>
    <s v="-"/>
    <s v="-"/>
    <s v="-"/>
    <s v="-"/>
    <n v="1"/>
    <n v="4"/>
    <n v="0"/>
    <n v="43"/>
    <n v="1"/>
    <d v="1943-01-01T00:00:00"/>
    <n v="43"/>
    <n v="10.75"/>
    <n v="24"/>
    <n v="0"/>
    <n v="0"/>
    <n v="1"/>
    <n v="0"/>
    <n v="3"/>
    <n v="43"/>
  </r>
  <r>
    <x v="4"/>
    <x v="169"/>
    <x v="1"/>
    <n v="4"/>
    <n v="3"/>
    <n v="1"/>
    <n v="7"/>
    <n v="5"/>
    <n v="3.5"/>
    <n v="12"/>
    <n v="58.33"/>
    <n v="0"/>
    <n v="0"/>
    <n v="0"/>
    <n v="0"/>
    <n v="0"/>
    <n v="4"/>
    <n v="14"/>
    <n v="0"/>
    <n v="134"/>
    <n v="3"/>
    <d v="2027-02-01T00:00:00"/>
    <n v="44.66"/>
    <n v="9.57"/>
    <n v="28"/>
    <n v="0"/>
    <n v="0"/>
    <n v="4"/>
    <n v="0"/>
    <n v="15"/>
    <n v="44.666666666666664"/>
  </r>
  <r>
    <x v="4"/>
    <x v="170"/>
    <x v="0"/>
    <n v="4"/>
    <s v="-"/>
    <s v="-"/>
    <s v="-"/>
    <s v="-"/>
    <s v="-"/>
    <s v="-"/>
    <s v="-"/>
    <s v="-"/>
    <s v="-"/>
    <s v="-"/>
    <s v="-"/>
    <s v="-"/>
    <n v="4"/>
    <n v="16"/>
    <n v="0"/>
    <n v="147"/>
    <n v="3"/>
    <d v="2021-01-01T00:00:00"/>
    <n v="49"/>
    <n v="9.18"/>
    <n v="32"/>
    <n v="0"/>
    <n v="0"/>
    <n v="1"/>
    <n v="0"/>
    <n v="15"/>
    <n v="49"/>
  </r>
  <r>
    <x v="4"/>
    <x v="171"/>
    <x v="2"/>
    <n v="6"/>
    <n v="6"/>
    <n v="0"/>
    <n v="127"/>
    <n v="43"/>
    <n v="21.16"/>
    <n v="88"/>
    <n v="144.31"/>
    <n v="0"/>
    <n v="0"/>
    <n v="1"/>
    <n v="16"/>
    <n v="6"/>
    <s v="-"/>
    <s v="-"/>
    <s v="-"/>
    <s v="-"/>
    <s v="-"/>
    <s v="-"/>
    <s v="-"/>
    <s v="-"/>
    <s v="-"/>
    <s v="-"/>
    <s v="-"/>
    <n v="1"/>
    <n v="0"/>
    <n v="18"/>
    <e v="#VALUE!"/>
  </r>
  <r>
    <x v="4"/>
    <x v="72"/>
    <x v="3"/>
    <n v="8"/>
    <n v="5"/>
    <n v="0"/>
    <n v="61"/>
    <n v="24"/>
    <n v="12.2"/>
    <n v="57"/>
    <n v="107.01"/>
    <n v="0"/>
    <n v="0"/>
    <n v="0"/>
    <n v="5"/>
    <n v="2"/>
    <s v="-"/>
    <s v="-"/>
    <s v="-"/>
    <s v="-"/>
    <s v="-"/>
    <s v="-"/>
    <s v="-"/>
    <s v="-"/>
    <s v="-"/>
    <s v="-"/>
    <s v="-"/>
    <n v="1"/>
    <n v="0"/>
    <n v="18"/>
    <e v="#VALUE!"/>
  </r>
  <r>
    <x v="4"/>
    <x v="172"/>
    <x v="3"/>
    <n v="2"/>
    <n v="1"/>
    <n v="1"/>
    <n v="0"/>
    <s v="0*"/>
    <s v="-"/>
    <n v="0"/>
    <s v="-"/>
    <n v="0"/>
    <n v="0"/>
    <n v="0"/>
    <n v="0"/>
    <n v="0"/>
    <n v="2"/>
    <n v="8"/>
    <n v="0"/>
    <n v="69"/>
    <n v="4"/>
    <d v="2029-02-01T00:00:00"/>
    <n v="17.25"/>
    <n v="8.6199999999999992"/>
    <n v="12"/>
    <n v="0"/>
    <n v="0"/>
    <n v="0"/>
    <n v="0"/>
    <n v="3"/>
    <n v="17.25"/>
  </r>
  <r>
    <x v="4"/>
    <x v="74"/>
    <x v="2"/>
    <n v="2"/>
    <n v="1"/>
    <n v="0"/>
    <n v="1"/>
    <n v="1"/>
    <n v="1"/>
    <n v="2"/>
    <n v="50"/>
    <n v="0"/>
    <n v="0"/>
    <n v="0"/>
    <n v="0"/>
    <n v="0"/>
    <n v="2"/>
    <n v="7"/>
    <n v="0"/>
    <n v="53"/>
    <n v="3"/>
    <d v="1936-02-01T00:00:00"/>
    <n v="17.66"/>
    <n v="7.57"/>
    <n v="14"/>
    <n v="0"/>
    <n v="0"/>
    <n v="0"/>
    <n v="0"/>
    <n v="13"/>
    <n v="17.666666666666668"/>
  </r>
  <r>
    <x v="4"/>
    <x v="25"/>
    <x v="2"/>
    <n v="3"/>
    <n v="3"/>
    <n v="0"/>
    <n v="17"/>
    <n v="15"/>
    <n v="5.66"/>
    <n v="22"/>
    <n v="77.27"/>
    <n v="0"/>
    <n v="0"/>
    <n v="1"/>
    <n v="0"/>
    <n v="1"/>
    <n v="3"/>
    <n v="8.4"/>
    <n v="0"/>
    <n v="115"/>
    <n v="3"/>
    <d v="1947-02-01T00:00:00"/>
    <n v="38.33"/>
    <n v="13.26"/>
    <n v="17.3"/>
    <n v="0"/>
    <n v="0"/>
    <n v="0"/>
    <n v="0"/>
    <n v="15"/>
    <n v="38.333333333333336"/>
  </r>
  <r>
    <x v="4"/>
    <x v="110"/>
    <x v="2"/>
    <n v="9"/>
    <n v="8"/>
    <n v="3"/>
    <n v="131"/>
    <n v="40"/>
    <n v="26.2"/>
    <n v="84"/>
    <n v="155.94999999999999"/>
    <n v="0"/>
    <n v="0"/>
    <n v="0"/>
    <n v="4"/>
    <n v="10"/>
    <n v="7"/>
    <n v="15"/>
    <n v="0"/>
    <n v="129"/>
    <n v="2"/>
    <d v="2020-08-01T00:00:00"/>
    <n v="64.5"/>
    <n v="8.6"/>
    <n v="45"/>
    <n v="0"/>
    <n v="0"/>
    <n v="3"/>
    <n v="0"/>
    <n v="11"/>
    <n v="64.5"/>
  </r>
  <r>
    <x v="4"/>
    <x v="110"/>
    <x v="3"/>
    <n v="4"/>
    <n v="4"/>
    <n v="1"/>
    <n v="46"/>
    <n v="37"/>
    <n v="15.33"/>
    <n v="49"/>
    <n v="93.87"/>
    <n v="0"/>
    <n v="0"/>
    <n v="0"/>
    <n v="4"/>
    <n v="2"/>
    <n v="3"/>
    <n v="5"/>
    <n v="0"/>
    <n v="55"/>
    <n v="0"/>
    <s v="-"/>
    <s v="-"/>
    <n v="11"/>
    <s v="-"/>
    <n v="0"/>
    <n v="0"/>
    <n v="1"/>
    <n v="0"/>
    <n v="17"/>
    <e v="#DIV/0!"/>
  </r>
  <r>
    <x v="4"/>
    <x v="111"/>
    <x v="2"/>
    <n v="5"/>
    <n v="4"/>
    <n v="2"/>
    <n v="17"/>
    <n v="11"/>
    <n v="8.5"/>
    <n v="19"/>
    <n v="89.47"/>
    <n v="0"/>
    <n v="0"/>
    <n v="0"/>
    <n v="1"/>
    <n v="1"/>
    <n v="5"/>
    <n v="18.2"/>
    <n v="0"/>
    <n v="190"/>
    <n v="8"/>
    <d v="1936-03-01T00:00:00"/>
    <n v="23.75"/>
    <n v="10.36"/>
    <n v="13.7"/>
    <n v="0"/>
    <n v="0"/>
    <n v="1"/>
    <n v="0"/>
    <n v="15"/>
    <n v="23.75"/>
  </r>
  <r>
    <x v="4"/>
    <x v="173"/>
    <x v="1"/>
    <n v="5"/>
    <n v="3"/>
    <n v="2"/>
    <n v="25"/>
    <s v="15*"/>
    <n v="25"/>
    <n v="20"/>
    <n v="125"/>
    <n v="0"/>
    <n v="0"/>
    <n v="0"/>
    <n v="1"/>
    <n v="1"/>
    <n v="5"/>
    <n v="16.5"/>
    <n v="2"/>
    <n v="144"/>
    <n v="5"/>
    <d v="2017-02-01T00:00:00"/>
    <n v="28.8"/>
    <n v="8.5500000000000007"/>
    <n v="20.2"/>
    <n v="0"/>
    <n v="0"/>
    <n v="0"/>
    <n v="0"/>
    <n v="8"/>
    <n v="28.8"/>
  </r>
  <r>
    <x v="4"/>
    <x v="174"/>
    <x v="1"/>
    <n v="3"/>
    <n v="3"/>
    <n v="0"/>
    <n v="19"/>
    <n v="9"/>
    <n v="6.33"/>
    <n v="26"/>
    <n v="73.069999999999993"/>
    <n v="0"/>
    <n v="0"/>
    <n v="0"/>
    <n v="1"/>
    <n v="1"/>
    <s v="-"/>
    <s v="-"/>
    <s v="-"/>
    <s v="-"/>
    <s v="-"/>
    <s v="-"/>
    <s v="-"/>
    <s v="-"/>
    <s v="-"/>
    <s v="-"/>
    <s v="-"/>
    <n v="0"/>
    <n v="2"/>
    <n v="10"/>
    <e v="#VALUE!"/>
  </r>
  <r>
    <x v="4"/>
    <x v="175"/>
    <x v="1"/>
    <n v="5"/>
    <n v="3"/>
    <n v="0"/>
    <n v="8"/>
    <n v="6"/>
    <n v="2.66"/>
    <n v="11"/>
    <n v="72.72"/>
    <n v="0"/>
    <n v="0"/>
    <n v="1"/>
    <n v="0"/>
    <n v="1"/>
    <n v="5"/>
    <n v="17.5"/>
    <n v="0"/>
    <n v="153"/>
    <n v="5"/>
    <d v="1931-02-01T00:00:00"/>
    <n v="30.6"/>
    <n v="8.57"/>
    <n v="21.4"/>
    <n v="0"/>
    <n v="0"/>
    <n v="1"/>
    <n v="0"/>
    <n v="5"/>
    <n v="30.6"/>
  </r>
  <r>
    <x v="4"/>
    <x v="176"/>
    <x v="1"/>
    <n v="7"/>
    <n v="5"/>
    <n v="0"/>
    <n v="13"/>
    <n v="8"/>
    <n v="2.6"/>
    <n v="23"/>
    <n v="56.52"/>
    <n v="0"/>
    <n v="0"/>
    <n v="2"/>
    <n v="0"/>
    <n v="0"/>
    <n v="7"/>
    <n v="25"/>
    <n v="1"/>
    <n v="188"/>
    <n v="9"/>
    <d v="2020-09-04T00:00:00"/>
    <n v="20.88"/>
    <n v="7.52"/>
    <n v="16.600000000000001"/>
    <n v="1"/>
    <n v="0"/>
    <n v="2"/>
    <n v="0"/>
    <n v="10"/>
    <n v="20.888888888888889"/>
  </r>
  <r>
    <x v="4"/>
    <x v="32"/>
    <x v="1"/>
    <n v="1"/>
    <s v="-"/>
    <s v="-"/>
    <s v="-"/>
    <s v="-"/>
    <s v="-"/>
    <s v="-"/>
    <s v="-"/>
    <s v="-"/>
    <s v="-"/>
    <s v="-"/>
    <s v="-"/>
    <s v="-"/>
    <n v="1"/>
    <n v="4"/>
    <n v="0"/>
    <n v="23"/>
    <n v="1"/>
    <d v="2023-01-01T00:00:00"/>
    <n v="23"/>
    <n v="5.75"/>
    <n v="24"/>
    <n v="0"/>
    <n v="0"/>
    <n v="0"/>
    <n v="0"/>
    <n v="5"/>
    <n v="23"/>
  </r>
  <r>
    <x v="4"/>
    <x v="177"/>
    <x v="1"/>
    <n v="2"/>
    <s v="-"/>
    <s v="-"/>
    <s v="-"/>
    <s v="-"/>
    <s v="-"/>
    <s v="-"/>
    <s v="-"/>
    <s v="-"/>
    <s v="-"/>
    <s v="-"/>
    <s v="-"/>
    <s v="-"/>
    <n v="2"/>
    <n v="8"/>
    <n v="0"/>
    <n v="70"/>
    <n v="2"/>
    <d v="2029-02-01T00:00:00"/>
    <n v="35"/>
    <n v="8.75"/>
    <n v="24"/>
    <n v="0"/>
    <n v="0"/>
    <n v="1"/>
    <n v="0"/>
    <n v="18"/>
    <n v="35"/>
  </r>
  <r>
    <x v="4"/>
    <x v="178"/>
    <x v="2"/>
    <n v="11"/>
    <n v="4"/>
    <n v="2"/>
    <n v="25"/>
    <n v="14"/>
    <n v="12.5"/>
    <n v="22"/>
    <n v="113.63"/>
    <n v="0"/>
    <n v="0"/>
    <n v="0"/>
    <n v="2"/>
    <n v="1"/>
    <n v="11"/>
    <n v="41"/>
    <n v="0"/>
    <n v="367"/>
    <n v="11"/>
    <d v="2025-03-01T00:00:00"/>
    <n v="33.36"/>
    <n v="8.9499999999999993"/>
    <n v="22.3"/>
    <n v="0"/>
    <n v="0"/>
    <n v="5"/>
    <n v="0"/>
    <n v="16"/>
    <n v="33.363636363636367"/>
  </r>
  <r>
    <x v="4"/>
    <x v="178"/>
    <x v="3"/>
    <n v="9"/>
    <n v="4"/>
    <n v="3"/>
    <n v="4"/>
    <s v="3*"/>
    <n v="4"/>
    <n v="14"/>
    <n v="28.57"/>
    <n v="0"/>
    <n v="0"/>
    <n v="0"/>
    <n v="0"/>
    <n v="0"/>
    <n v="9"/>
    <n v="28.1"/>
    <n v="1"/>
    <n v="269"/>
    <n v="7"/>
    <d v="1938-02-01T00:00:00"/>
    <n v="38.42"/>
    <n v="9.5500000000000007"/>
    <n v="24.1"/>
    <n v="0"/>
    <n v="0"/>
    <n v="2"/>
    <n v="0"/>
    <n v="15"/>
    <n v="38.428571428571431"/>
  </r>
  <r>
    <x v="4"/>
    <x v="179"/>
    <x v="2"/>
    <n v="7"/>
    <n v="6"/>
    <n v="3"/>
    <n v="65"/>
    <n v="35"/>
    <n v="21.66"/>
    <n v="38"/>
    <n v="171.05"/>
    <n v="0"/>
    <n v="0"/>
    <n v="0"/>
    <n v="5"/>
    <n v="4"/>
    <n v="7"/>
    <n v="20"/>
    <n v="0"/>
    <n v="192"/>
    <n v="4"/>
    <d v="2022-02-01T00:00:00"/>
    <n v="48"/>
    <n v="9.6"/>
    <n v="30"/>
    <n v="0"/>
    <n v="0"/>
    <n v="0"/>
    <n v="0"/>
    <n v="8"/>
    <n v="48"/>
  </r>
  <r>
    <x v="4"/>
    <x v="179"/>
    <x v="3"/>
    <n v="3"/>
    <n v="2"/>
    <n v="0"/>
    <n v="1"/>
    <n v="1"/>
    <n v="0.5"/>
    <n v="3"/>
    <n v="33.33"/>
    <n v="0"/>
    <n v="0"/>
    <n v="1"/>
    <n v="0"/>
    <n v="0"/>
    <n v="3"/>
    <n v="9"/>
    <n v="0"/>
    <n v="74"/>
    <n v="4"/>
    <d v="2024-03-01T00:00:00"/>
    <n v="18.5"/>
    <n v="8.2200000000000006"/>
    <n v="13.5"/>
    <n v="0"/>
    <n v="0"/>
    <n v="2"/>
    <n v="0"/>
    <n v="8"/>
    <n v="18.5"/>
  </r>
  <r>
    <x v="4"/>
    <x v="180"/>
    <x v="3"/>
    <n v="3"/>
    <n v="2"/>
    <n v="0"/>
    <n v="9"/>
    <n v="6"/>
    <n v="4.5"/>
    <n v="10"/>
    <n v="90"/>
    <n v="0"/>
    <n v="0"/>
    <n v="0"/>
    <n v="0"/>
    <n v="0"/>
    <s v="-"/>
    <s v="-"/>
    <s v="-"/>
    <s v="-"/>
    <s v="-"/>
    <s v="-"/>
    <s v="-"/>
    <s v="-"/>
    <s v="-"/>
    <s v="-"/>
    <s v="-"/>
    <n v="0"/>
    <n v="0"/>
    <n v="12"/>
    <e v="#VALUE!"/>
  </r>
  <r>
    <x v="4"/>
    <x v="181"/>
    <x v="2"/>
    <n v="5"/>
    <n v="4"/>
    <n v="0"/>
    <n v="77"/>
    <n v="65"/>
    <n v="19.25"/>
    <n v="46"/>
    <n v="167.39"/>
    <n v="0"/>
    <n v="1"/>
    <n v="0"/>
    <n v="4"/>
    <n v="6"/>
    <n v="5"/>
    <n v="13.1"/>
    <n v="0"/>
    <n v="97"/>
    <n v="3"/>
    <d v="2013-01-01T00:00:00"/>
    <n v="32.33"/>
    <n v="7.36"/>
    <n v="26.3"/>
    <n v="0"/>
    <n v="0"/>
    <n v="2"/>
    <n v="0"/>
    <n v="4"/>
    <n v="32.333333333333336"/>
  </r>
  <r>
    <x v="4"/>
    <x v="181"/>
    <x v="3"/>
    <n v="11"/>
    <n v="10"/>
    <n v="2"/>
    <n v="220"/>
    <n v="66"/>
    <n v="27.5"/>
    <n v="133"/>
    <n v="165.41"/>
    <n v="0"/>
    <n v="2"/>
    <n v="0"/>
    <n v="16"/>
    <n v="17"/>
    <n v="9"/>
    <n v="25"/>
    <n v="0"/>
    <n v="169"/>
    <n v="6"/>
    <d v="2018-02-01T00:00:00"/>
    <n v="28.16"/>
    <n v="6.76"/>
    <n v="25"/>
    <n v="0"/>
    <n v="0"/>
    <n v="1"/>
    <n v="0"/>
    <n v="9"/>
    <n v="28.166666666666668"/>
  </r>
  <r>
    <x v="4"/>
    <x v="182"/>
    <x v="2"/>
    <n v="3"/>
    <s v="-"/>
    <s v="-"/>
    <s v="-"/>
    <s v="-"/>
    <s v="-"/>
    <s v="-"/>
    <s v="-"/>
    <s v="-"/>
    <s v="-"/>
    <s v="-"/>
    <s v="-"/>
    <s v="-"/>
    <n v="3"/>
    <n v="10.5"/>
    <n v="0"/>
    <n v="107"/>
    <n v="2"/>
    <d v="1933-02-01T00:00:00"/>
    <n v="53.5"/>
    <n v="9.8699999999999992"/>
    <n v="32.5"/>
    <n v="0"/>
    <n v="0"/>
    <n v="0"/>
    <n v="0"/>
    <n v="13"/>
    <n v="53.5"/>
  </r>
  <r>
    <x v="4"/>
    <x v="182"/>
    <x v="3"/>
    <n v="2"/>
    <s v="-"/>
    <s v="-"/>
    <s v="-"/>
    <s v="-"/>
    <s v="-"/>
    <s v="-"/>
    <s v="-"/>
    <s v="-"/>
    <s v="-"/>
    <s v="-"/>
    <s v="-"/>
    <s v="-"/>
    <n v="2"/>
    <n v="5"/>
    <n v="0"/>
    <n v="46"/>
    <n v="1"/>
    <d v="2029-01-01T00:00:00"/>
    <n v="46"/>
    <n v="9.1999999999999993"/>
    <n v="30"/>
    <n v="0"/>
    <n v="0"/>
    <n v="0"/>
    <n v="0"/>
    <n v="9"/>
    <n v="46"/>
  </r>
  <r>
    <x v="4"/>
    <x v="183"/>
    <x v="3"/>
    <n v="1"/>
    <n v="1"/>
    <n v="0"/>
    <n v="19"/>
    <n v="19"/>
    <n v="19"/>
    <n v="24"/>
    <n v="79.16"/>
    <n v="0"/>
    <n v="0"/>
    <n v="0"/>
    <n v="2"/>
    <n v="0"/>
    <n v="1"/>
    <n v="4"/>
    <n v="0"/>
    <n v="56"/>
    <n v="0"/>
    <s v="-"/>
    <s v="-"/>
    <n v="14"/>
    <s v="-"/>
    <n v="0"/>
    <n v="0"/>
    <n v="0"/>
    <n v="0"/>
    <n v="3"/>
    <e v="#DIV/0!"/>
  </r>
  <r>
    <x v="4"/>
    <x v="184"/>
    <x v="3"/>
    <n v="5"/>
    <n v="5"/>
    <n v="0"/>
    <n v="90"/>
    <n v="75"/>
    <n v="18"/>
    <n v="73"/>
    <n v="123.28"/>
    <n v="0"/>
    <n v="1"/>
    <n v="1"/>
    <n v="4"/>
    <n v="7"/>
    <s v="-"/>
    <s v="-"/>
    <s v="-"/>
    <s v="-"/>
    <s v="-"/>
    <s v="-"/>
    <s v="-"/>
    <s v="-"/>
    <s v="-"/>
    <s v="-"/>
    <s v="-"/>
    <n v="3"/>
    <n v="0"/>
    <n v="16"/>
    <e v="#VALUE!"/>
  </r>
  <r>
    <x v="4"/>
    <x v="185"/>
    <x v="3"/>
    <n v="4"/>
    <n v="4"/>
    <n v="1"/>
    <n v="40"/>
    <n v="24"/>
    <n v="13.33"/>
    <n v="33"/>
    <n v="121.21"/>
    <n v="0"/>
    <n v="0"/>
    <n v="0"/>
    <n v="1"/>
    <n v="3"/>
    <n v="2"/>
    <n v="1.4"/>
    <n v="0"/>
    <n v="8"/>
    <n v="0"/>
    <s v="-"/>
    <s v="-"/>
    <n v="4.8"/>
    <s v="-"/>
    <n v="0"/>
    <n v="0"/>
    <n v="1"/>
    <n v="0"/>
    <n v="18"/>
    <e v="#DIV/0!"/>
  </r>
  <r>
    <x v="4"/>
    <x v="186"/>
    <x v="3"/>
    <n v="13"/>
    <n v="2"/>
    <n v="1"/>
    <n v="2"/>
    <n v="2"/>
    <n v="2"/>
    <n v="4"/>
    <n v="50"/>
    <n v="0"/>
    <n v="0"/>
    <n v="0"/>
    <n v="0"/>
    <n v="0"/>
    <n v="13"/>
    <n v="48"/>
    <n v="0"/>
    <n v="397"/>
    <n v="11"/>
    <d v="2024-02-01T00:00:00"/>
    <n v="36.090000000000003"/>
    <n v="8.27"/>
    <n v="26.1"/>
    <n v="0"/>
    <n v="0"/>
    <n v="3"/>
    <n v="0"/>
    <n v="11"/>
    <n v="36.090909090909093"/>
  </r>
  <r>
    <x v="5"/>
    <x v="8"/>
    <x v="2"/>
    <n v="4"/>
    <n v="4"/>
    <n v="1"/>
    <n v="75"/>
    <s v="43*"/>
    <n v="25"/>
    <n v="48"/>
    <n v="156.25"/>
    <n v="0"/>
    <n v="0"/>
    <n v="0"/>
    <n v="1"/>
    <n v="8"/>
    <n v="4"/>
    <n v="10.1"/>
    <n v="0"/>
    <n v="94"/>
    <n v="5"/>
    <d v="2015-02-01T00:00:00"/>
    <n v="18.8"/>
    <n v="9.24"/>
    <n v="12.2"/>
    <n v="0"/>
    <n v="0"/>
    <n v="2"/>
    <n v="0"/>
    <n v="7"/>
    <n v="18.8"/>
  </r>
  <r>
    <x v="5"/>
    <x v="17"/>
    <x v="3"/>
    <n v="3"/>
    <s v="-"/>
    <s v="-"/>
    <s v="-"/>
    <s v="-"/>
    <s v="-"/>
    <s v="-"/>
    <s v="-"/>
    <s v="-"/>
    <s v="-"/>
    <s v="-"/>
    <s v="-"/>
    <s v="-"/>
    <n v="3"/>
    <n v="9"/>
    <n v="0"/>
    <n v="90"/>
    <n v="2"/>
    <d v="2024-01-01T00:00:00"/>
    <n v="45"/>
    <n v="10"/>
    <n v="27"/>
    <n v="0"/>
    <n v="0"/>
    <n v="0"/>
    <n v="0"/>
    <n v="5"/>
    <n v="45"/>
  </r>
  <r>
    <x v="5"/>
    <x v="45"/>
    <x v="2"/>
    <n v="11"/>
    <n v="10"/>
    <n v="2"/>
    <n v="122"/>
    <n v="35"/>
    <n v="15.25"/>
    <n v="102"/>
    <n v="119.6"/>
    <n v="0"/>
    <n v="0"/>
    <n v="1"/>
    <n v="17"/>
    <n v="1"/>
    <s v="-"/>
    <s v="-"/>
    <s v="-"/>
    <s v="-"/>
    <s v="-"/>
    <s v="-"/>
    <s v="-"/>
    <s v="-"/>
    <s v="-"/>
    <s v="-"/>
    <s v="-"/>
    <n v="5"/>
    <n v="1"/>
    <n v="9"/>
    <e v="#VALUE!"/>
  </r>
  <r>
    <x v="5"/>
    <x v="45"/>
    <x v="3"/>
    <n v="5"/>
    <n v="5"/>
    <n v="0"/>
    <n v="86"/>
    <n v="28"/>
    <n v="17.2"/>
    <n v="53"/>
    <n v="162.26"/>
    <n v="0"/>
    <n v="0"/>
    <n v="0"/>
    <n v="13"/>
    <n v="1"/>
    <s v="-"/>
    <s v="-"/>
    <s v="-"/>
    <s v="-"/>
    <s v="-"/>
    <s v="-"/>
    <s v="-"/>
    <s v="-"/>
    <s v="-"/>
    <s v="-"/>
    <s v="-"/>
    <n v="3"/>
    <n v="1"/>
    <n v="16"/>
    <e v="#VALUE!"/>
  </r>
  <r>
    <x v="5"/>
    <x v="59"/>
    <x v="2"/>
    <n v="12"/>
    <n v="3"/>
    <n v="1"/>
    <n v="0"/>
    <s v="0*"/>
    <n v="0"/>
    <n v="4"/>
    <n v="0"/>
    <n v="0"/>
    <n v="0"/>
    <n v="2"/>
    <n v="0"/>
    <n v="0"/>
    <n v="12"/>
    <n v="44"/>
    <n v="0"/>
    <n v="333"/>
    <n v="12"/>
    <d v="2017-02-01T00:00:00"/>
    <n v="27.75"/>
    <n v="7.56"/>
    <n v="22"/>
    <n v="0"/>
    <n v="0"/>
    <n v="2"/>
    <n v="0"/>
    <n v="13"/>
    <n v="27.75"/>
  </r>
  <r>
    <x v="5"/>
    <x v="59"/>
    <x v="3"/>
    <n v="11"/>
    <n v="2"/>
    <n v="2"/>
    <n v="6"/>
    <s v="5*"/>
    <s v="-"/>
    <n v="3"/>
    <n v="200"/>
    <n v="0"/>
    <n v="0"/>
    <n v="0"/>
    <n v="1"/>
    <n v="0"/>
    <n v="11"/>
    <n v="42.4"/>
    <n v="0"/>
    <n v="352"/>
    <n v="12"/>
    <d v="2019-03-01T00:00:00"/>
    <n v="29.33"/>
    <n v="8.25"/>
    <n v="21.3"/>
    <n v="0"/>
    <n v="0"/>
    <n v="1"/>
    <n v="0"/>
    <n v="6"/>
    <n v="29.333333333333332"/>
  </r>
  <r>
    <x v="5"/>
    <x v="88"/>
    <x v="2"/>
    <n v="15"/>
    <n v="13"/>
    <n v="4"/>
    <n v="260"/>
    <s v="45*"/>
    <n v="28.88"/>
    <n v="200"/>
    <n v="130"/>
    <n v="0"/>
    <n v="0"/>
    <n v="0"/>
    <n v="22"/>
    <n v="11"/>
    <n v="1"/>
    <n v="2"/>
    <n v="0"/>
    <n v="14"/>
    <n v="1"/>
    <d v="2014-01-01T00:00:00"/>
    <n v="14"/>
    <n v="7"/>
    <n v="12"/>
    <n v="0"/>
    <n v="0"/>
    <n v="3"/>
    <n v="0"/>
    <n v="6"/>
    <n v="14"/>
  </r>
  <r>
    <x v="5"/>
    <x v="88"/>
    <x v="3"/>
    <n v="10"/>
    <n v="8"/>
    <n v="5"/>
    <n v="40"/>
    <s v="16*"/>
    <n v="13.33"/>
    <n v="45"/>
    <n v="88.88"/>
    <n v="0"/>
    <n v="0"/>
    <n v="1"/>
    <n v="1"/>
    <n v="1"/>
    <n v="1"/>
    <n v="1"/>
    <n v="0"/>
    <n v="8"/>
    <n v="0"/>
    <s v="-"/>
    <s v="-"/>
    <n v="8"/>
    <s v="-"/>
    <n v="0"/>
    <n v="0"/>
    <n v="1"/>
    <n v="0"/>
    <n v="3"/>
    <e v="#DIV/0!"/>
  </r>
  <r>
    <x v="5"/>
    <x v="89"/>
    <x v="2"/>
    <n v="15"/>
    <n v="13"/>
    <n v="2"/>
    <n v="284"/>
    <s v="62*"/>
    <n v="25.81"/>
    <n v="246"/>
    <n v="115.44"/>
    <n v="0"/>
    <n v="3"/>
    <n v="1"/>
    <n v="22"/>
    <n v="5"/>
    <s v="-"/>
    <s v="-"/>
    <s v="-"/>
    <s v="-"/>
    <s v="-"/>
    <s v="-"/>
    <s v="-"/>
    <s v="-"/>
    <s v="-"/>
    <s v="-"/>
    <s v="-"/>
    <n v="9"/>
    <n v="0"/>
    <n v="12"/>
    <e v="#VALUE!"/>
  </r>
  <r>
    <x v="5"/>
    <x v="89"/>
    <x v="3"/>
    <n v="12"/>
    <n v="11"/>
    <n v="3"/>
    <n v="344"/>
    <s v="83*"/>
    <n v="43"/>
    <n v="263"/>
    <n v="130.79"/>
    <n v="0"/>
    <n v="3"/>
    <n v="0"/>
    <n v="34"/>
    <n v="6"/>
    <s v="-"/>
    <s v="-"/>
    <s v="-"/>
    <s v="-"/>
    <s v="-"/>
    <s v="-"/>
    <s v="-"/>
    <s v="-"/>
    <s v="-"/>
    <s v="-"/>
    <s v="-"/>
    <n v="7"/>
    <n v="0"/>
    <n v="11"/>
    <e v="#VALUE!"/>
  </r>
  <r>
    <x v="5"/>
    <x v="94"/>
    <x v="2"/>
    <n v="17"/>
    <n v="13"/>
    <n v="2"/>
    <n v="239"/>
    <n v="35"/>
    <n v="21.72"/>
    <n v="197"/>
    <n v="121.31"/>
    <n v="0"/>
    <n v="0"/>
    <n v="0"/>
    <n v="26"/>
    <n v="5"/>
    <n v="17"/>
    <n v="57"/>
    <n v="0"/>
    <n v="456"/>
    <n v="14"/>
    <d v="2018-02-01T00:00:00"/>
    <n v="32.57"/>
    <n v="8"/>
    <n v="24.4"/>
    <n v="0"/>
    <n v="0"/>
    <n v="3"/>
    <n v="0"/>
    <n v="17"/>
    <n v="32.571428571428569"/>
  </r>
  <r>
    <x v="5"/>
    <x v="94"/>
    <x v="3"/>
    <n v="3"/>
    <n v="1"/>
    <n v="0"/>
    <n v="9"/>
    <n v="9"/>
    <n v="9"/>
    <n v="10"/>
    <n v="90"/>
    <n v="0"/>
    <n v="0"/>
    <n v="0"/>
    <n v="0"/>
    <n v="0"/>
    <n v="3"/>
    <n v="10.5"/>
    <n v="0"/>
    <n v="95"/>
    <n v="2"/>
    <d v="2026-01-01T00:00:00"/>
    <n v="47.5"/>
    <n v="8.76"/>
    <n v="32.5"/>
    <n v="0"/>
    <n v="0"/>
    <n v="0"/>
    <n v="0"/>
    <n v="10"/>
    <n v="47.5"/>
  </r>
  <r>
    <x v="5"/>
    <x v="62"/>
    <x v="3"/>
    <n v="3"/>
    <n v="3"/>
    <n v="0"/>
    <n v="81"/>
    <n v="36"/>
    <n v="27"/>
    <n v="53"/>
    <n v="152.83000000000001"/>
    <n v="0"/>
    <n v="0"/>
    <n v="0"/>
    <n v="4"/>
    <n v="7"/>
    <s v="-"/>
    <s v="-"/>
    <s v="-"/>
    <s v="-"/>
    <s v="-"/>
    <s v="-"/>
    <s v="-"/>
    <s v="-"/>
    <s v="-"/>
    <s v="-"/>
    <s v="-"/>
    <n v="1"/>
    <n v="0"/>
    <n v="3"/>
    <e v="#VALUE!"/>
  </r>
  <r>
    <x v="5"/>
    <x v="162"/>
    <x v="1"/>
    <n v="1"/>
    <n v="1"/>
    <n v="0"/>
    <n v="0"/>
    <n v="0"/>
    <n v="0"/>
    <n v="1"/>
    <n v="0"/>
    <n v="0"/>
    <n v="0"/>
    <n v="1"/>
    <n v="0"/>
    <n v="0"/>
    <n v="1"/>
    <n v="1"/>
    <n v="0"/>
    <n v="9"/>
    <n v="1"/>
    <d v="2020-09-01T00:00:00"/>
    <n v="9"/>
    <n v="9"/>
    <n v="6"/>
    <n v="0"/>
    <n v="0"/>
    <n v="0"/>
    <n v="0"/>
    <n v="4"/>
    <n v="9"/>
  </r>
  <r>
    <x v="5"/>
    <x v="162"/>
    <x v="2"/>
    <n v="1"/>
    <s v="-"/>
    <s v="-"/>
    <s v="-"/>
    <s v="-"/>
    <s v="-"/>
    <s v="-"/>
    <s v="-"/>
    <s v="-"/>
    <s v="-"/>
    <s v="-"/>
    <s v="-"/>
    <s v="-"/>
    <n v="1"/>
    <n v="4"/>
    <n v="0"/>
    <n v="31"/>
    <n v="0"/>
    <s v="-"/>
    <s v="-"/>
    <n v="7.75"/>
    <s v="-"/>
    <n v="0"/>
    <n v="0"/>
    <n v="0"/>
    <n v="0"/>
    <n v="3"/>
    <e v="#DIV/0!"/>
  </r>
  <r>
    <x v="5"/>
    <x v="187"/>
    <x v="0"/>
    <n v="17"/>
    <n v="17"/>
    <n v="3"/>
    <n v="848"/>
    <s v="93*"/>
    <n v="60.57"/>
    <n v="560"/>
    <n v="151.41999999999999"/>
    <n v="0"/>
    <n v="9"/>
    <n v="1"/>
    <n v="88"/>
    <n v="31"/>
    <s v="-"/>
    <s v="-"/>
    <s v="-"/>
    <s v="-"/>
    <s v="-"/>
    <s v="-"/>
    <s v="-"/>
    <s v="-"/>
    <s v="-"/>
    <s v="-"/>
    <s v="-"/>
    <n v="4"/>
    <n v="0"/>
    <n v="17"/>
    <e v="#VALUE!"/>
  </r>
  <r>
    <x v="5"/>
    <x v="187"/>
    <x v="1"/>
    <n v="14"/>
    <n v="14"/>
    <n v="3"/>
    <n v="641"/>
    <n v="126"/>
    <n v="58.27"/>
    <n v="452"/>
    <n v="141.81"/>
    <n v="1"/>
    <n v="4"/>
    <n v="0"/>
    <n v="63"/>
    <n v="26"/>
    <s v="-"/>
    <s v="-"/>
    <s v="-"/>
    <s v="-"/>
    <s v="-"/>
    <s v="-"/>
    <s v="-"/>
    <s v="-"/>
    <s v="-"/>
    <s v="-"/>
    <s v="-"/>
    <n v="10"/>
    <n v="0"/>
    <n v="16"/>
    <e v="#VALUE!"/>
  </r>
  <r>
    <x v="5"/>
    <x v="187"/>
    <x v="3"/>
    <n v="12"/>
    <n v="12"/>
    <n v="2"/>
    <n v="692"/>
    <s v="100*"/>
    <n v="69.2"/>
    <n v="481"/>
    <n v="143.86000000000001"/>
    <n v="1"/>
    <n v="8"/>
    <n v="0"/>
    <n v="57"/>
    <n v="21"/>
    <s v="-"/>
    <s v="-"/>
    <s v="-"/>
    <s v="-"/>
    <s v="-"/>
    <s v="-"/>
    <s v="-"/>
    <s v="-"/>
    <s v="-"/>
    <s v="-"/>
    <s v="-"/>
    <n v="2"/>
    <n v="0"/>
    <n v="17"/>
    <e v="#VALUE!"/>
  </r>
  <r>
    <x v="5"/>
    <x v="188"/>
    <x v="0"/>
    <n v="17"/>
    <n v="17"/>
    <n v="4"/>
    <n v="501"/>
    <s v="82*"/>
    <n v="38.53"/>
    <n v="429"/>
    <n v="116.78"/>
    <n v="0"/>
    <n v="4"/>
    <n v="1"/>
    <n v="51"/>
    <n v="8"/>
    <s v="-"/>
    <s v="-"/>
    <s v="-"/>
    <s v="-"/>
    <s v="-"/>
    <s v="-"/>
    <s v="-"/>
    <s v="-"/>
    <s v="-"/>
    <s v="-"/>
    <s v="-"/>
    <n v="5"/>
    <n v="0"/>
    <n v="14"/>
    <e v="#VALUE!"/>
  </r>
  <r>
    <x v="5"/>
    <x v="188"/>
    <x v="1"/>
    <n v="14"/>
    <n v="14"/>
    <n v="1"/>
    <n v="479"/>
    <n v="77"/>
    <n v="36.840000000000003"/>
    <n v="376"/>
    <n v="127.39"/>
    <n v="0"/>
    <n v="3"/>
    <n v="0"/>
    <n v="53"/>
    <n v="9"/>
    <s v="-"/>
    <s v="-"/>
    <s v="-"/>
    <s v="-"/>
    <s v="-"/>
    <s v="-"/>
    <s v="-"/>
    <s v="-"/>
    <s v="-"/>
    <s v="-"/>
    <s v="-"/>
    <n v="7"/>
    <n v="0"/>
    <n v="4"/>
    <e v="#VALUE!"/>
  </r>
  <r>
    <x v="5"/>
    <x v="188"/>
    <x v="2"/>
    <n v="16"/>
    <n v="16"/>
    <n v="3"/>
    <n v="497"/>
    <s v="92*"/>
    <n v="38.229999999999997"/>
    <n v="363"/>
    <n v="136.91"/>
    <n v="0"/>
    <n v="4"/>
    <n v="1"/>
    <n v="59"/>
    <n v="14"/>
    <s v="-"/>
    <s v="-"/>
    <s v="-"/>
    <s v="-"/>
    <s v="-"/>
    <s v="-"/>
    <s v="-"/>
    <s v="-"/>
    <s v="-"/>
    <s v="-"/>
    <s v="-"/>
    <n v="12"/>
    <n v="0"/>
    <n v="4"/>
    <e v="#VALUE!"/>
  </r>
  <r>
    <x v="5"/>
    <x v="139"/>
    <x v="0"/>
    <n v="4"/>
    <n v="4"/>
    <n v="2"/>
    <n v="65"/>
    <s v="39*"/>
    <n v="32.5"/>
    <n v="34"/>
    <n v="191.17"/>
    <n v="0"/>
    <n v="0"/>
    <n v="1"/>
    <n v="4"/>
    <n v="6"/>
    <n v="4"/>
    <n v="11.1"/>
    <n v="0"/>
    <n v="80"/>
    <n v="5"/>
    <d v="2020-02-01T00:00:00"/>
    <n v="16"/>
    <n v="7.16"/>
    <n v="13.4"/>
    <n v="0"/>
    <n v="0"/>
    <n v="1"/>
    <n v="0"/>
    <n v="6"/>
    <n v="16"/>
  </r>
  <r>
    <x v="5"/>
    <x v="139"/>
    <x v="1"/>
    <n v="4"/>
    <n v="3"/>
    <n v="1"/>
    <n v="51"/>
    <n v="20"/>
    <n v="25.5"/>
    <n v="26"/>
    <n v="196.15"/>
    <n v="0"/>
    <n v="0"/>
    <n v="0"/>
    <n v="5"/>
    <n v="3"/>
    <n v="4"/>
    <n v="12.4"/>
    <n v="0"/>
    <n v="123"/>
    <n v="1"/>
    <d v="1941-01-01T00:00:00"/>
    <n v="123"/>
    <n v="9.7100000000000009"/>
    <n v="76"/>
    <n v="0"/>
    <n v="0"/>
    <n v="1"/>
    <n v="0"/>
    <n v="10"/>
    <n v="123"/>
  </r>
  <r>
    <x v="5"/>
    <x v="68"/>
    <x v="0"/>
    <n v="10"/>
    <n v="10"/>
    <n v="1"/>
    <n v="236"/>
    <n v="44"/>
    <n v="26.22"/>
    <n v="179"/>
    <n v="131.84"/>
    <n v="0"/>
    <n v="0"/>
    <n v="0"/>
    <n v="22"/>
    <n v="13"/>
    <n v="5"/>
    <n v="6.1"/>
    <n v="0"/>
    <n v="52"/>
    <n v="0"/>
    <s v="-"/>
    <s v="-"/>
    <n v="8.43"/>
    <s v="-"/>
    <n v="0"/>
    <n v="0"/>
    <n v="1"/>
    <n v="0"/>
    <n v="16"/>
    <e v="#DIV/0!"/>
  </r>
  <r>
    <x v="5"/>
    <x v="68"/>
    <x v="1"/>
    <n v="12"/>
    <n v="11"/>
    <n v="2"/>
    <n v="252"/>
    <s v="70*"/>
    <n v="28"/>
    <n v="177"/>
    <n v="142.37"/>
    <n v="0"/>
    <n v="2"/>
    <n v="1"/>
    <n v="30"/>
    <n v="8"/>
    <n v="2"/>
    <n v="2"/>
    <n v="0"/>
    <n v="22"/>
    <n v="1"/>
    <d v="2020-06-01T00:00:00"/>
    <n v="22"/>
    <n v="11"/>
    <n v="12"/>
    <n v="0"/>
    <n v="0"/>
    <n v="3"/>
    <n v="0"/>
    <n v="9"/>
    <n v="22"/>
  </r>
  <r>
    <x v="5"/>
    <x v="189"/>
    <x v="0"/>
    <n v="7"/>
    <n v="4"/>
    <n v="2"/>
    <n v="51"/>
    <s v="27*"/>
    <n v="25.5"/>
    <n v="25"/>
    <n v="204"/>
    <n v="0"/>
    <n v="0"/>
    <n v="0"/>
    <n v="1"/>
    <n v="5"/>
    <n v="6"/>
    <n v="14"/>
    <n v="0"/>
    <n v="121"/>
    <n v="3"/>
    <d v="2020-10-01T00:00:00"/>
    <n v="40.33"/>
    <n v="8.64"/>
    <n v="28"/>
    <n v="0"/>
    <n v="0"/>
    <n v="2"/>
    <n v="0"/>
    <n v="7"/>
    <n v="40.333333333333336"/>
  </r>
  <r>
    <x v="5"/>
    <x v="189"/>
    <x v="1"/>
    <n v="7"/>
    <n v="3"/>
    <n v="2"/>
    <n v="31"/>
    <s v="21*"/>
    <n v="31"/>
    <n v="24"/>
    <n v="129.16"/>
    <n v="0"/>
    <n v="0"/>
    <n v="0"/>
    <n v="2"/>
    <n v="1"/>
    <n v="7"/>
    <n v="16.2"/>
    <n v="0"/>
    <n v="129"/>
    <n v="3"/>
    <d v="2020-04-01T00:00:00"/>
    <n v="43"/>
    <n v="7.89"/>
    <n v="32.6"/>
    <n v="0"/>
    <n v="0"/>
    <n v="1"/>
    <n v="0"/>
    <n v="14"/>
    <n v="43"/>
  </r>
  <r>
    <x v="5"/>
    <x v="69"/>
    <x v="0"/>
    <n v="7"/>
    <n v="6"/>
    <n v="1"/>
    <n v="123"/>
    <n v="51"/>
    <n v="24.6"/>
    <n v="105"/>
    <n v="117.14"/>
    <n v="0"/>
    <n v="1"/>
    <n v="1"/>
    <n v="8"/>
    <n v="4"/>
    <s v="-"/>
    <s v="-"/>
    <s v="-"/>
    <s v="-"/>
    <s v="-"/>
    <s v="-"/>
    <s v="-"/>
    <s v="-"/>
    <s v="-"/>
    <s v="-"/>
    <s v="-"/>
    <n v="3"/>
    <n v="0"/>
    <n v="13"/>
    <e v="#VALUE!"/>
  </r>
  <r>
    <x v="5"/>
    <x v="190"/>
    <x v="0"/>
    <n v="4"/>
    <n v="3"/>
    <n v="1"/>
    <n v="47"/>
    <n v="32"/>
    <n v="23.5"/>
    <n v="29"/>
    <n v="162.06"/>
    <n v="0"/>
    <n v="0"/>
    <n v="0"/>
    <n v="2"/>
    <n v="4"/>
    <n v="2"/>
    <n v="3.5"/>
    <n v="0"/>
    <n v="39"/>
    <n v="1"/>
    <d v="2014-01-01T00:00:00"/>
    <n v="39"/>
    <n v="10.17"/>
    <n v="23"/>
    <n v="0"/>
    <n v="0"/>
    <n v="1"/>
    <n v="0"/>
    <n v="12"/>
    <n v="39"/>
  </r>
  <r>
    <x v="5"/>
    <x v="191"/>
    <x v="0"/>
    <n v="6"/>
    <n v="6"/>
    <n v="0"/>
    <n v="124"/>
    <n v="50"/>
    <n v="20.66"/>
    <n v="122"/>
    <n v="101.63"/>
    <n v="0"/>
    <n v="1"/>
    <n v="0"/>
    <n v="14"/>
    <n v="0"/>
    <n v="1"/>
    <n v="1"/>
    <n v="0"/>
    <n v="7"/>
    <n v="0"/>
    <s v="-"/>
    <s v="-"/>
    <n v="7"/>
    <s v="-"/>
    <n v="0"/>
    <n v="0"/>
    <n v="5"/>
    <n v="0"/>
    <n v="16"/>
    <e v="#DIV/0!"/>
  </r>
  <r>
    <x v="5"/>
    <x v="191"/>
    <x v="1"/>
    <n v="7"/>
    <n v="7"/>
    <n v="1"/>
    <n v="256"/>
    <n v="89"/>
    <n v="42.66"/>
    <n v="169"/>
    <n v="151.47"/>
    <n v="0"/>
    <n v="2"/>
    <n v="0"/>
    <n v="20"/>
    <n v="10"/>
    <s v="-"/>
    <s v="-"/>
    <s v="-"/>
    <s v="-"/>
    <s v="-"/>
    <s v="-"/>
    <s v="-"/>
    <s v="-"/>
    <s v="-"/>
    <s v="-"/>
    <s v="-"/>
    <n v="1"/>
    <n v="0"/>
    <n v="4"/>
    <e v="#VALUE!"/>
  </r>
  <r>
    <x v="5"/>
    <x v="191"/>
    <x v="2"/>
    <n v="17"/>
    <n v="17"/>
    <n v="3"/>
    <n v="735"/>
    <n v="84"/>
    <n v="52.5"/>
    <n v="516"/>
    <n v="142.44"/>
    <n v="0"/>
    <n v="8"/>
    <n v="1"/>
    <n v="63"/>
    <n v="28"/>
    <s v="-"/>
    <s v="-"/>
    <s v="-"/>
    <s v="-"/>
    <s v="-"/>
    <s v="-"/>
    <s v="-"/>
    <s v="-"/>
    <s v="-"/>
    <s v="-"/>
    <s v="-"/>
    <n v="6"/>
    <n v="0"/>
    <n v="17"/>
    <e v="#VALUE!"/>
  </r>
  <r>
    <x v="5"/>
    <x v="191"/>
    <x v="3"/>
    <n v="9"/>
    <n v="9"/>
    <n v="2"/>
    <n v="156"/>
    <s v="70*"/>
    <n v="22.28"/>
    <n v="130"/>
    <n v="120"/>
    <n v="0"/>
    <n v="1"/>
    <n v="0"/>
    <n v="12"/>
    <n v="5"/>
    <s v="-"/>
    <s v="-"/>
    <s v="-"/>
    <s v="-"/>
    <s v="-"/>
    <s v="-"/>
    <s v="-"/>
    <s v="-"/>
    <s v="-"/>
    <s v="-"/>
    <s v="-"/>
    <n v="2"/>
    <n v="0"/>
    <n v="9"/>
    <e v="#VALUE!"/>
  </r>
  <r>
    <x v="5"/>
    <x v="192"/>
    <x v="0"/>
    <n v="17"/>
    <n v="15"/>
    <n v="3"/>
    <n v="182"/>
    <s v="31*"/>
    <n v="15.16"/>
    <n v="158"/>
    <n v="115.18"/>
    <n v="0"/>
    <n v="0"/>
    <n v="1"/>
    <n v="15"/>
    <n v="6"/>
    <n v="17"/>
    <n v="52"/>
    <n v="0"/>
    <n v="415"/>
    <n v="12"/>
    <d v="2017-02-01T00:00:00"/>
    <n v="34.58"/>
    <n v="7.98"/>
    <n v="26"/>
    <n v="0"/>
    <n v="0"/>
    <n v="11"/>
    <n v="0"/>
    <n v="4"/>
    <n v="34.583333333333336"/>
  </r>
  <r>
    <x v="5"/>
    <x v="192"/>
    <x v="1"/>
    <n v="12"/>
    <n v="11"/>
    <n v="5"/>
    <n v="277"/>
    <s v="55*"/>
    <n v="46.16"/>
    <n v="203"/>
    <n v="136.44999999999999"/>
    <n v="0"/>
    <n v="3"/>
    <n v="0"/>
    <n v="28"/>
    <n v="4"/>
    <n v="12"/>
    <n v="24"/>
    <n v="0"/>
    <n v="248"/>
    <n v="1"/>
    <d v="2020-06-01T00:00:00"/>
    <n v="248"/>
    <n v="10.33"/>
    <n v="144"/>
    <n v="0"/>
    <n v="0"/>
    <n v="5"/>
    <n v="0"/>
    <n v="9"/>
    <n v="248"/>
  </r>
  <r>
    <x v="5"/>
    <x v="22"/>
    <x v="0"/>
    <n v="17"/>
    <n v="13"/>
    <n v="3"/>
    <n v="136"/>
    <n v="37"/>
    <n v="13.6"/>
    <n v="138"/>
    <n v="98.55"/>
    <n v="0"/>
    <n v="0"/>
    <n v="1"/>
    <n v="7"/>
    <n v="5"/>
    <s v="-"/>
    <s v="-"/>
    <s v="-"/>
    <s v="-"/>
    <s v="-"/>
    <s v="-"/>
    <s v="-"/>
    <s v="-"/>
    <s v="-"/>
    <s v="-"/>
    <s v="-"/>
    <n v="18"/>
    <n v="0"/>
    <n v="9"/>
    <e v="#VALUE!"/>
  </r>
  <r>
    <x v="5"/>
    <x v="22"/>
    <x v="1"/>
    <n v="14"/>
    <n v="5"/>
    <n v="1"/>
    <n v="79"/>
    <n v="34"/>
    <n v="19.75"/>
    <n v="65"/>
    <n v="121.53"/>
    <n v="0"/>
    <n v="0"/>
    <n v="0"/>
    <n v="2"/>
    <n v="3"/>
    <s v="-"/>
    <s v="-"/>
    <s v="-"/>
    <s v="-"/>
    <s v="-"/>
    <s v="-"/>
    <s v="-"/>
    <s v="-"/>
    <s v="-"/>
    <s v="-"/>
    <s v="-"/>
    <n v="6"/>
    <n v="0"/>
    <n v="8"/>
    <e v="#VALUE!"/>
  </r>
  <r>
    <x v="5"/>
    <x v="193"/>
    <x v="0"/>
    <n v="17"/>
    <n v="15"/>
    <n v="1"/>
    <n v="144"/>
    <n v="34"/>
    <n v="10.28"/>
    <n v="121"/>
    <n v="119"/>
    <n v="0"/>
    <n v="0"/>
    <n v="0"/>
    <n v="9"/>
    <n v="5"/>
    <n v="6"/>
    <n v="13"/>
    <n v="0"/>
    <n v="97"/>
    <n v="3"/>
    <d v="2016-02-01T00:00:00"/>
    <n v="32.33"/>
    <n v="7.46"/>
    <n v="26"/>
    <n v="0"/>
    <n v="0"/>
    <n v="3"/>
    <n v="0"/>
    <n v="8"/>
    <n v="32.333333333333336"/>
  </r>
  <r>
    <x v="5"/>
    <x v="193"/>
    <x v="1"/>
    <n v="10"/>
    <n v="6"/>
    <n v="3"/>
    <n v="78"/>
    <s v="19*"/>
    <n v="26"/>
    <n v="52"/>
    <n v="150"/>
    <n v="0"/>
    <n v="0"/>
    <n v="0"/>
    <n v="5"/>
    <n v="4"/>
    <n v="3"/>
    <n v="4"/>
    <n v="0"/>
    <n v="42"/>
    <n v="2"/>
    <d v="2020-07-01T00:00:00"/>
    <n v="21"/>
    <n v="10.5"/>
    <n v="12"/>
    <n v="0"/>
    <n v="0"/>
    <n v="5"/>
    <n v="0"/>
    <n v="6"/>
    <n v="21"/>
  </r>
  <r>
    <x v="5"/>
    <x v="193"/>
    <x v="2"/>
    <n v="9"/>
    <n v="8"/>
    <n v="4"/>
    <n v="87"/>
    <s v="32*"/>
    <n v="21.75"/>
    <n v="81"/>
    <n v="107.4"/>
    <n v="0"/>
    <n v="0"/>
    <n v="0"/>
    <n v="2"/>
    <n v="3"/>
    <n v="2"/>
    <n v="3"/>
    <n v="0"/>
    <n v="24"/>
    <n v="0"/>
    <s v="-"/>
    <s v="-"/>
    <n v="8"/>
    <s v="-"/>
    <n v="0"/>
    <n v="0"/>
    <n v="3"/>
    <n v="0"/>
    <n v="10"/>
    <e v="#DIV/0!"/>
  </r>
  <r>
    <x v="5"/>
    <x v="193"/>
    <x v="3"/>
    <n v="11"/>
    <n v="7"/>
    <n v="1"/>
    <n v="64"/>
    <n v="20"/>
    <n v="10.66"/>
    <n v="63"/>
    <n v="101.58"/>
    <n v="0"/>
    <n v="0"/>
    <n v="1"/>
    <n v="5"/>
    <n v="1"/>
    <n v="2"/>
    <n v="2"/>
    <n v="0"/>
    <n v="21"/>
    <n v="1"/>
    <d v="2013-01-01T00:00:00"/>
    <n v="21"/>
    <n v="10.5"/>
    <n v="12"/>
    <n v="0"/>
    <n v="0"/>
    <n v="10"/>
    <n v="0"/>
    <n v="10"/>
    <n v="21"/>
  </r>
  <r>
    <x v="5"/>
    <x v="194"/>
    <x v="0"/>
    <n v="17"/>
    <n v="8"/>
    <n v="2"/>
    <n v="43"/>
    <n v="21"/>
    <n v="7.16"/>
    <n v="27"/>
    <n v="159.25"/>
    <n v="0"/>
    <n v="0"/>
    <n v="0"/>
    <n v="6"/>
    <n v="1"/>
    <n v="17"/>
    <n v="66"/>
    <n v="3"/>
    <n v="490"/>
    <n v="23"/>
    <d v="2029-04-01T00:00:00"/>
    <n v="21.3"/>
    <n v="7.42"/>
    <n v="17.2"/>
    <n v="1"/>
    <n v="0"/>
    <n v="6"/>
    <n v="0"/>
    <n v="16"/>
    <n v="21.304347826086957"/>
  </r>
  <r>
    <x v="5"/>
    <x v="194"/>
    <x v="1"/>
    <n v="14"/>
    <n v="2"/>
    <n v="1"/>
    <n v="4"/>
    <s v="4*"/>
    <n v="4"/>
    <n v="4"/>
    <n v="100"/>
    <n v="0"/>
    <n v="0"/>
    <n v="1"/>
    <n v="0"/>
    <n v="0"/>
    <n v="14"/>
    <n v="52.2"/>
    <n v="0"/>
    <n v="369"/>
    <n v="26"/>
    <d v="2019-05-01T00:00:00"/>
    <n v="14.19"/>
    <n v="7.05"/>
    <n v="12"/>
    <n v="0"/>
    <n v="1"/>
    <n v="4"/>
    <n v="0"/>
    <n v="18"/>
    <n v="14.192307692307692"/>
  </r>
  <r>
    <x v="5"/>
    <x v="194"/>
    <x v="2"/>
    <n v="12"/>
    <n v="4"/>
    <n v="2"/>
    <n v="13"/>
    <n v="7"/>
    <n v="6.5"/>
    <n v="16"/>
    <n v="81.25"/>
    <n v="0"/>
    <n v="0"/>
    <n v="1"/>
    <n v="1"/>
    <n v="0"/>
    <n v="12"/>
    <n v="46.1"/>
    <n v="1"/>
    <n v="354"/>
    <n v="9"/>
    <d v="2026-03-01T00:00:00"/>
    <n v="39.33"/>
    <n v="7.66"/>
    <n v="30.7"/>
    <n v="0"/>
    <n v="0"/>
    <n v="2"/>
    <n v="0"/>
    <n v="13"/>
    <n v="39.333333333333336"/>
  </r>
  <r>
    <x v="5"/>
    <x v="194"/>
    <x v="3"/>
    <n v="15"/>
    <n v="5"/>
    <n v="2"/>
    <n v="12"/>
    <s v="7*"/>
    <n v="4"/>
    <n v="19"/>
    <n v="63.15"/>
    <n v="0"/>
    <n v="0"/>
    <n v="0"/>
    <n v="1"/>
    <n v="0"/>
    <n v="15"/>
    <n v="59"/>
    <n v="1"/>
    <n v="461"/>
    <n v="13"/>
    <d v="2024-02-01T00:00:00"/>
    <n v="35.46"/>
    <n v="7.81"/>
    <n v="27.2"/>
    <n v="0"/>
    <n v="0"/>
    <n v="4"/>
    <n v="0"/>
    <n v="14"/>
    <n v="35.46153846153846"/>
  </r>
  <r>
    <x v="5"/>
    <x v="23"/>
    <x v="0"/>
    <n v="3"/>
    <n v="2"/>
    <n v="0"/>
    <n v="8"/>
    <n v="8"/>
    <n v="4"/>
    <n v="15"/>
    <n v="53.33"/>
    <n v="0"/>
    <n v="0"/>
    <n v="1"/>
    <n v="1"/>
    <n v="0"/>
    <s v="-"/>
    <s v="-"/>
    <s v="-"/>
    <s v="-"/>
    <s v="-"/>
    <s v="-"/>
    <s v="-"/>
    <s v="-"/>
    <s v="-"/>
    <s v="-"/>
    <s v="-"/>
    <n v="1"/>
    <n v="0"/>
    <n v="18"/>
    <e v="#VALUE!"/>
  </r>
  <r>
    <x v="5"/>
    <x v="140"/>
    <x v="0"/>
    <n v="5"/>
    <n v="3"/>
    <n v="3"/>
    <n v="36"/>
    <s v="26*"/>
    <s v="-"/>
    <n v="30"/>
    <n v="120"/>
    <n v="0"/>
    <n v="0"/>
    <n v="0"/>
    <n v="3"/>
    <n v="1"/>
    <n v="5"/>
    <n v="16.2"/>
    <n v="0"/>
    <n v="171"/>
    <n v="0"/>
    <s v="-"/>
    <s v="-"/>
    <n v="10.46"/>
    <s v="-"/>
    <n v="0"/>
    <n v="0"/>
    <n v="0"/>
    <n v="0"/>
    <n v="4"/>
    <e v="#DIV/0!"/>
  </r>
  <r>
    <x v="5"/>
    <x v="70"/>
    <x v="0"/>
    <n v="14"/>
    <n v="4"/>
    <n v="4"/>
    <n v="4"/>
    <s v="2*"/>
    <s v="-"/>
    <n v="4"/>
    <n v="100"/>
    <n v="0"/>
    <n v="0"/>
    <n v="0"/>
    <n v="0"/>
    <n v="0"/>
    <n v="14"/>
    <n v="49.3"/>
    <n v="0"/>
    <n v="413"/>
    <n v="14"/>
    <d v="2028-03-01T00:00:00"/>
    <n v="29.5"/>
    <n v="8.34"/>
    <n v="21.2"/>
    <n v="0"/>
    <n v="0"/>
    <n v="2"/>
    <n v="0"/>
    <n v="8"/>
    <n v="29.5"/>
  </r>
  <r>
    <x v="5"/>
    <x v="70"/>
    <x v="1"/>
    <n v="1"/>
    <s v="-"/>
    <s v="-"/>
    <s v="-"/>
    <s v="-"/>
    <s v="-"/>
    <s v="-"/>
    <s v="-"/>
    <s v="-"/>
    <s v="-"/>
    <s v="-"/>
    <s v="-"/>
    <s v="-"/>
    <n v="1"/>
    <n v="2"/>
    <n v="0"/>
    <n v="29"/>
    <n v="0"/>
    <s v="-"/>
    <s v="-"/>
    <n v="14.5"/>
    <s v="-"/>
    <n v="0"/>
    <n v="0"/>
    <n v="0"/>
    <n v="0"/>
    <n v="6"/>
    <e v="#DIV/0!"/>
  </r>
  <r>
    <x v="5"/>
    <x v="195"/>
    <x v="0"/>
    <n v="8"/>
    <n v="2"/>
    <n v="2"/>
    <n v="1"/>
    <s v="1*"/>
    <s v="-"/>
    <n v="1"/>
    <n v="100"/>
    <n v="0"/>
    <n v="0"/>
    <n v="0"/>
    <n v="0"/>
    <n v="0"/>
    <n v="8"/>
    <n v="26"/>
    <n v="1"/>
    <n v="199"/>
    <n v="9"/>
    <d v="2015-03-01T00:00:00"/>
    <n v="22.11"/>
    <n v="7.65"/>
    <n v="17.3"/>
    <n v="0"/>
    <n v="0"/>
    <n v="1"/>
    <n v="0"/>
    <n v="6"/>
    <n v="22.111111111111111"/>
  </r>
  <r>
    <x v="5"/>
    <x v="195"/>
    <x v="1"/>
    <n v="6"/>
    <n v="2"/>
    <n v="2"/>
    <n v="0"/>
    <s v="0*"/>
    <s v="-"/>
    <n v="0"/>
    <s v="-"/>
    <n v="0"/>
    <n v="0"/>
    <n v="0"/>
    <n v="0"/>
    <n v="0"/>
    <n v="6"/>
    <n v="21.1"/>
    <n v="0"/>
    <n v="197"/>
    <n v="8"/>
    <d v="1942-03-01T00:00:00"/>
    <n v="24.62"/>
    <n v="9.3000000000000007"/>
    <n v="15.8"/>
    <n v="0"/>
    <n v="0"/>
    <n v="1"/>
    <n v="0"/>
    <n v="10"/>
    <n v="24.625"/>
  </r>
  <r>
    <x v="5"/>
    <x v="24"/>
    <x v="0"/>
    <n v="1"/>
    <s v="-"/>
    <s v="-"/>
    <s v="-"/>
    <s v="-"/>
    <s v="-"/>
    <s v="-"/>
    <s v="-"/>
    <s v="-"/>
    <s v="-"/>
    <s v="-"/>
    <s v="-"/>
    <s v="-"/>
    <n v="1"/>
    <n v="4"/>
    <n v="0"/>
    <n v="39"/>
    <n v="1"/>
    <d v="1939-01-01T00:00:00"/>
    <n v="39"/>
    <n v="9.75"/>
    <n v="24"/>
    <n v="0"/>
    <n v="0"/>
    <n v="1"/>
    <n v="0"/>
    <n v="10"/>
    <n v="39"/>
  </r>
  <r>
    <x v="5"/>
    <x v="141"/>
    <x v="0"/>
    <n v="16"/>
    <s v="-"/>
    <s v="-"/>
    <s v="-"/>
    <s v="-"/>
    <s v="-"/>
    <s v="-"/>
    <s v="-"/>
    <s v="-"/>
    <s v="-"/>
    <s v="-"/>
    <s v="-"/>
    <s v="-"/>
    <n v="16"/>
    <n v="61"/>
    <n v="1"/>
    <n v="421"/>
    <n v="17"/>
    <d v="2016-03-01T00:00:00"/>
    <n v="24.76"/>
    <n v="6.9"/>
    <n v="21.5"/>
    <n v="0"/>
    <n v="0"/>
    <n v="2"/>
    <n v="0"/>
    <n v="10"/>
    <n v="24.764705882352942"/>
  </r>
  <r>
    <x v="5"/>
    <x v="141"/>
    <x v="1"/>
    <n v="1"/>
    <s v="-"/>
    <s v="-"/>
    <s v="-"/>
    <s v="-"/>
    <s v="-"/>
    <s v="-"/>
    <s v="-"/>
    <s v="-"/>
    <s v="-"/>
    <s v="-"/>
    <s v="-"/>
    <s v="-"/>
    <n v="1"/>
    <n v="2.4"/>
    <n v="0"/>
    <n v="34"/>
    <n v="0"/>
    <s v="-"/>
    <s v="-"/>
    <n v="12.75"/>
    <s v="-"/>
    <n v="0"/>
    <n v="0"/>
    <n v="0"/>
    <n v="0"/>
    <n v="5"/>
    <e v="#DIV/0!"/>
  </r>
  <r>
    <x v="5"/>
    <x v="177"/>
    <x v="2"/>
    <n v="4"/>
    <n v="1"/>
    <n v="1"/>
    <n v="5"/>
    <s v="5*"/>
    <s v="-"/>
    <n v="2"/>
    <n v="250"/>
    <n v="0"/>
    <n v="0"/>
    <n v="0"/>
    <n v="1"/>
    <n v="0"/>
    <n v="4"/>
    <n v="16"/>
    <n v="0"/>
    <n v="130"/>
    <n v="5"/>
    <d v="2021-02-01T00:00:00"/>
    <n v="26"/>
    <n v="8.1199999999999992"/>
    <n v="19.2"/>
    <n v="0"/>
    <n v="0"/>
    <n v="0"/>
    <n v="0"/>
    <n v="14"/>
    <n v="26"/>
  </r>
  <r>
    <x v="5"/>
    <x v="33"/>
    <x v="1"/>
    <n v="4"/>
    <n v="4"/>
    <n v="2"/>
    <n v="101"/>
    <s v="63*"/>
    <n v="50.5"/>
    <n v="75"/>
    <n v="134.66"/>
    <n v="0"/>
    <n v="1"/>
    <n v="0"/>
    <n v="12"/>
    <n v="1"/>
    <s v="-"/>
    <s v="-"/>
    <s v="-"/>
    <s v="-"/>
    <s v="-"/>
    <s v="-"/>
    <s v="-"/>
    <s v="-"/>
    <s v="-"/>
    <s v="-"/>
    <s v="-"/>
    <n v="1"/>
    <n v="0"/>
    <n v="15"/>
    <e v="#VALUE!"/>
  </r>
  <r>
    <x v="5"/>
    <x v="33"/>
    <x v="3"/>
    <n v="15"/>
    <n v="14"/>
    <n v="2"/>
    <n v="244"/>
    <s v="40*"/>
    <n v="20.329999999999998"/>
    <n v="193"/>
    <n v="126.42"/>
    <n v="0"/>
    <n v="0"/>
    <n v="0"/>
    <n v="11"/>
    <n v="12"/>
    <n v="5"/>
    <n v="8"/>
    <n v="0"/>
    <n v="70"/>
    <n v="1"/>
    <d v="2020-11-01T00:00:00"/>
    <n v="70"/>
    <n v="8.75"/>
    <n v="48"/>
    <n v="0"/>
    <n v="0"/>
    <n v="10"/>
    <n v="0"/>
    <n v="15"/>
    <n v="70"/>
  </r>
  <r>
    <x v="5"/>
    <x v="196"/>
    <x v="1"/>
    <n v="14"/>
    <n v="3"/>
    <n v="1"/>
    <n v="11"/>
    <s v="6*"/>
    <n v="5.5"/>
    <n v="9"/>
    <n v="122.22"/>
    <n v="0"/>
    <n v="0"/>
    <n v="0"/>
    <n v="0"/>
    <n v="1"/>
    <n v="14"/>
    <n v="54"/>
    <n v="0"/>
    <n v="358"/>
    <n v="17"/>
    <d v="2019-03-01T00:00:00"/>
    <n v="21.05"/>
    <n v="6.62"/>
    <n v="19"/>
    <n v="0"/>
    <n v="0"/>
    <n v="5"/>
    <n v="0"/>
    <n v="11"/>
    <n v="21.058823529411764"/>
  </r>
  <r>
    <x v="5"/>
    <x v="196"/>
    <x v="2"/>
    <n v="17"/>
    <n v="7"/>
    <n v="2"/>
    <n v="59"/>
    <s v="34*"/>
    <n v="11.8"/>
    <n v="31"/>
    <n v="190.32"/>
    <n v="0"/>
    <n v="0"/>
    <n v="2"/>
    <n v="3"/>
    <n v="6"/>
    <n v="17"/>
    <n v="68"/>
    <n v="2"/>
    <n v="458"/>
    <n v="21"/>
    <d v="2019-03-01T00:00:00"/>
    <n v="21.8"/>
    <n v="6.73"/>
    <n v="19.399999999999999"/>
    <n v="0"/>
    <n v="0"/>
    <n v="6"/>
    <n v="0"/>
    <n v="5"/>
    <n v="21.80952380952381"/>
  </r>
  <r>
    <x v="5"/>
    <x v="196"/>
    <x v="3"/>
    <n v="15"/>
    <n v="8"/>
    <n v="3"/>
    <n v="34"/>
    <s v="17*"/>
    <n v="6.8"/>
    <n v="23"/>
    <n v="147.82"/>
    <n v="0"/>
    <n v="0"/>
    <n v="3"/>
    <n v="2"/>
    <n v="2"/>
    <n v="15"/>
    <n v="60"/>
    <n v="1"/>
    <n v="377"/>
    <n v="17"/>
    <d v="2021-03-01T00:00:00"/>
    <n v="22.17"/>
    <n v="6.28"/>
    <n v="21.1"/>
    <n v="0"/>
    <n v="0"/>
    <n v="4"/>
    <n v="0"/>
    <n v="9"/>
    <n v="22.176470588235293"/>
  </r>
  <r>
    <x v="5"/>
    <x v="197"/>
    <x v="1"/>
    <n v="3"/>
    <n v="1"/>
    <n v="0"/>
    <n v="2"/>
    <n v="2"/>
    <n v="2"/>
    <n v="3"/>
    <n v="66.66"/>
    <n v="0"/>
    <n v="0"/>
    <n v="0"/>
    <n v="0"/>
    <n v="0"/>
    <n v="3"/>
    <n v="11"/>
    <n v="0"/>
    <n v="58"/>
    <n v="2"/>
    <d v="2013-01-01T00:00:00"/>
    <n v="29"/>
    <n v="5.27"/>
    <n v="33"/>
    <n v="0"/>
    <n v="0"/>
    <n v="0"/>
    <n v="0"/>
    <n v="13"/>
    <n v="29"/>
  </r>
  <r>
    <x v="5"/>
    <x v="197"/>
    <x v="2"/>
    <n v="2"/>
    <n v="2"/>
    <n v="0"/>
    <n v="18"/>
    <n v="14"/>
    <n v="9"/>
    <n v="12"/>
    <n v="150"/>
    <n v="0"/>
    <n v="0"/>
    <n v="0"/>
    <n v="3"/>
    <n v="0"/>
    <n v="2"/>
    <n v="5"/>
    <n v="0"/>
    <n v="47"/>
    <n v="1"/>
    <d v="2023-01-01T00:00:00"/>
    <n v="47"/>
    <n v="9.4"/>
    <n v="30"/>
    <n v="0"/>
    <n v="0"/>
    <n v="0"/>
    <n v="0"/>
    <n v="8"/>
    <n v="47"/>
  </r>
  <r>
    <x v="5"/>
    <x v="197"/>
    <x v="3"/>
    <n v="8"/>
    <n v="7"/>
    <n v="1"/>
    <n v="115"/>
    <n v="31"/>
    <n v="19.16"/>
    <n v="76"/>
    <n v="151.31"/>
    <n v="0"/>
    <n v="0"/>
    <n v="0"/>
    <n v="8"/>
    <n v="7"/>
    <n v="8"/>
    <n v="29.1"/>
    <n v="0"/>
    <n v="194"/>
    <n v="8"/>
    <d v="2020-11-04T00:00:00"/>
    <n v="24.25"/>
    <n v="6.65"/>
    <n v="21.8"/>
    <n v="1"/>
    <n v="0"/>
    <n v="6"/>
    <n v="0"/>
    <n v="18"/>
    <n v="24.25"/>
  </r>
  <r>
    <x v="5"/>
    <x v="198"/>
    <x v="1"/>
    <n v="10"/>
    <n v="1"/>
    <n v="1"/>
    <n v="0"/>
    <s v="0*"/>
    <s v="-"/>
    <n v="2"/>
    <n v="0"/>
    <n v="0"/>
    <n v="0"/>
    <n v="0"/>
    <n v="0"/>
    <n v="0"/>
    <n v="10"/>
    <n v="35.4"/>
    <n v="0"/>
    <n v="300"/>
    <n v="16"/>
    <d v="2029-04-01T00:00:00"/>
    <n v="18.75"/>
    <n v="8.41"/>
    <n v="13.3"/>
    <n v="1"/>
    <n v="0"/>
    <n v="3"/>
    <n v="0"/>
    <n v="17"/>
    <n v="18.75"/>
  </r>
  <r>
    <x v="5"/>
    <x v="198"/>
    <x v="2"/>
    <n v="17"/>
    <n v="4"/>
    <n v="1"/>
    <n v="3"/>
    <n v="2"/>
    <n v="1"/>
    <n v="14"/>
    <n v="21.42"/>
    <n v="0"/>
    <n v="0"/>
    <n v="1"/>
    <n v="0"/>
    <n v="0"/>
    <n v="17"/>
    <n v="66"/>
    <n v="0"/>
    <n v="547"/>
    <n v="21"/>
    <d v="2023-03-01T00:00:00"/>
    <n v="26.04"/>
    <n v="8.2799999999999994"/>
    <n v="18.8"/>
    <n v="0"/>
    <n v="0"/>
    <n v="2"/>
    <n v="0"/>
    <n v="11"/>
    <n v="26.047619047619047"/>
  </r>
  <r>
    <x v="5"/>
    <x v="198"/>
    <x v="3"/>
    <n v="7"/>
    <n v="2"/>
    <n v="1"/>
    <n v="0"/>
    <s v="0*"/>
    <n v="0"/>
    <n v="1"/>
    <n v="0"/>
    <n v="0"/>
    <n v="0"/>
    <n v="1"/>
    <n v="0"/>
    <n v="0"/>
    <n v="7"/>
    <n v="27"/>
    <n v="0"/>
    <n v="242"/>
    <n v="6"/>
    <d v="1934-02-01T00:00:00"/>
    <n v="40.33"/>
    <n v="8.9600000000000009"/>
    <n v="27"/>
    <n v="0"/>
    <n v="0"/>
    <n v="1"/>
    <n v="0"/>
    <n v="3"/>
    <n v="40.333333333333336"/>
  </r>
  <r>
    <x v="5"/>
    <x v="178"/>
    <x v="1"/>
    <n v="6"/>
    <s v="-"/>
    <s v="-"/>
    <s v="-"/>
    <s v="-"/>
    <s v="-"/>
    <s v="-"/>
    <s v="-"/>
    <s v="-"/>
    <s v="-"/>
    <s v="-"/>
    <s v="-"/>
    <s v="-"/>
    <n v="6"/>
    <n v="23"/>
    <n v="0"/>
    <n v="212"/>
    <n v="10"/>
    <d v="1932-04-01T00:00:00"/>
    <n v="21.2"/>
    <n v="9.2100000000000009"/>
    <n v="13.8"/>
    <n v="1"/>
    <n v="0"/>
    <n v="1"/>
    <n v="0"/>
    <n v="9"/>
    <n v="21.2"/>
  </r>
  <r>
    <x v="5"/>
    <x v="199"/>
    <x v="2"/>
    <n v="4"/>
    <n v="2"/>
    <n v="1"/>
    <n v="3"/>
    <n v="3"/>
    <n v="3"/>
    <n v="6"/>
    <n v="50"/>
    <n v="0"/>
    <n v="0"/>
    <n v="0"/>
    <n v="0"/>
    <n v="0"/>
    <n v="4"/>
    <n v="10.1"/>
    <n v="0"/>
    <n v="114"/>
    <n v="5"/>
    <d v="2020-04-02T00:00:00"/>
    <n v="22.8"/>
    <n v="11.21"/>
    <n v="12.2"/>
    <n v="0"/>
    <n v="0"/>
    <n v="2"/>
    <n v="0"/>
    <n v="16"/>
    <n v="22.8"/>
  </r>
  <r>
    <x v="5"/>
    <x v="199"/>
    <x v="3"/>
    <n v="3"/>
    <n v="1"/>
    <n v="1"/>
    <n v="1"/>
    <s v="1*"/>
    <s v="-"/>
    <n v="1"/>
    <n v="100"/>
    <n v="0"/>
    <n v="0"/>
    <n v="0"/>
    <n v="0"/>
    <n v="0"/>
    <n v="3"/>
    <n v="12"/>
    <n v="0"/>
    <n v="110"/>
    <n v="0"/>
    <s v="-"/>
    <s v="-"/>
    <n v="9.16"/>
    <s v="-"/>
    <n v="0"/>
    <n v="0"/>
    <n v="0"/>
    <n v="0"/>
    <n v="16"/>
    <e v="#DIV/0!"/>
  </r>
  <r>
    <x v="5"/>
    <x v="36"/>
    <x v="3"/>
    <n v="3"/>
    <n v="3"/>
    <n v="1"/>
    <n v="9"/>
    <s v="5*"/>
    <n v="4.5"/>
    <n v="9"/>
    <n v="100"/>
    <n v="0"/>
    <n v="0"/>
    <n v="0"/>
    <n v="1"/>
    <n v="0"/>
    <n v="2"/>
    <n v="2"/>
    <n v="0"/>
    <n v="21"/>
    <n v="1"/>
    <d v="2020-10-01T00:00:00"/>
    <n v="21"/>
    <n v="10.5"/>
    <n v="12"/>
    <n v="0"/>
    <n v="0"/>
    <n v="1"/>
    <n v="0"/>
    <n v="3"/>
    <n v="21"/>
  </r>
  <r>
    <x v="5"/>
    <x v="200"/>
    <x v="2"/>
    <n v="6"/>
    <n v="6"/>
    <n v="0"/>
    <n v="148"/>
    <n v="45"/>
    <n v="24.66"/>
    <n v="118"/>
    <n v="125.42"/>
    <n v="0"/>
    <n v="0"/>
    <n v="0"/>
    <n v="13"/>
    <n v="6"/>
    <s v="-"/>
    <s v="-"/>
    <s v="-"/>
    <s v="-"/>
    <s v="-"/>
    <s v="-"/>
    <s v="-"/>
    <s v="-"/>
    <s v="-"/>
    <s v="-"/>
    <s v="-"/>
    <n v="2"/>
    <n v="0"/>
    <n v="17"/>
    <e v="#VALUE!"/>
  </r>
  <r>
    <x v="5"/>
    <x v="201"/>
    <x v="2"/>
    <n v="6"/>
    <n v="3"/>
    <n v="0"/>
    <n v="52"/>
    <n v="35"/>
    <n v="17.329999999999998"/>
    <n v="40"/>
    <n v="130"/>
    <n v="0"/>
    <n v="0"/>
    <n v="0"/>
    <n v="6"/>
    <n v="1"/>
    <s v="-"/>
    <s v="-"/>
    <s v="-"/>
    <s v="-"/>
    <s v="-"/>
    <s v="-"/>
    <s v="-"/>
    <s v="-"/>
    <s v="-"/>
    <s v="-"/>
    <s v="-"/>
    <n v="5"/>
    <n v="0"/>
    <n v="17"/>
    <e v="#VALUE!"/>
  </r>
  <r>
    <x v="5"/>
    <x v="202"/>
    <x v="2"/>
    <n v="1"/>
    <n v="1"/>
    <n v="0"/>
    <n v="0"/>
    <n v="0"/>
    <n v="0"/>
    <n v="5"/>
    <n v="0"/>
    <n v="0"/>
    <n v="0"/>
    <n v="1"/>
    <n v="0"/>
    <n v="0"/>
    <s v="-"/>
    <s v="-"/>
    <s v="-"/>
    <s v="-"/>
    <s v="-"/>
    <s v="-"/>
    <s v="-"/>
    <s v="-"/>
    <s v="-"/>
    <s v="-"/>
    <s v="-"/>
    <n v="0"/>
    <n v="0"/>
    <n v="18"/>
    <e v="#VALUE!"/>
  </r>
  <r>
    <x v="5"/>
    <x v="202"/>
    <x v="3"/>
    <n v="1"/>
    <n v="1"/>
    <n v="0"/>
    <n v="7"/>
    <n v="7"/>
    <n v="7"/>
    <n v="12"/>
    <n v="58.33"/>
    <n v="0"/>
    <n v="0"/>
    <n v="0"/>
    <n v="0"/>
    <n v="0"/>
    <s v="-"/>
    <s v="-"/>
    <s v="-"/>
    <s v="-"/>
    <s v="-"/>
    <s v="-"/>
    <s v="-"/>
    <s v="-"/>
    <s v="-"/>
    <s v="-"/>
    <s v="-"/>
    <n v="0"/>
    <n v="0"/>
    <n v="5"/>
    <e v="#VALUE!"/>
  </r>
  <r>
    <x v="5"/>
    <x v="203"/>
    <x v="2"/>
    <n v="1"/>
    <s v="-"/>
    <s v="-"/>
    <s v="-"/>
    <s v="-"/>
    <s v="-"/>
    <s v="-"/>
    <s v="-"/>
    <s v="-"/>
    <s v="-"/>
    <s v="-"/>
    <s v="-"/>
    <s v="-"/>
    <n v="1"/>
    <n v="3"/>
    <n v="0"/>
    <n v="38"/>
    <n v="0"/>
    <s v="-"/>
    <s v="-"/>
    <n v="12.66"/>
    <s v="-"/>
    <n v="0"/>
    <n v="0"/>
    <n v="0"/>
    <n v="0"/>
    <n v="3"/>
    <e v="#DIV/0!"/>
  </r>
  <r>
    <x v="5"/>
    <x v="203"/>
    <x v="3"/>
    <n v="9"/>
    <n v="1"/>
    <n v="0"/>
    <n v="0"/>
    <n v="0"/>
    <n v="0"/>
    <n v="1"/>
    <n v="0"/>
    <n v="0"/>
    <n v="0"/>
    <n v="1"/>
    <n v="0"/>
    <n v="0"/>
    <n v="9"/>
    <n v="34.5"/>
    <n v="0"/>
    <n v="287"/>
    <n v="19"/>
    <d v="1930-03-01T00:00:00"/>
    <n v="15.1"/>
    <n v="8.23"/>
    <n v="11"/>
    <n v="0"/>
    <n v="0"/>
    <n v="0"/>
    <n v="0"/>
    <n v="18"/>
    <n v="15.105263157894736"/>
  </r>
  <r>
    <x v="5"/>
    <x v="204"/>
    <x v="3"/>
    <n v="10"/>
    <n v="10"/>
    <n v="2"/>
    <n v="445"/>
    <n v="114"/>
    <n v="55.62"/>
    <n v="283"/>
    <n v="157.24"/>
    <n v="1"/>
    <n v="2"/>
    <n v="1"/>
    <n v="48"/>
    <n v="18"/>
    <s v="-"/>
    <s v="-"/>
    <s v="-"/>
    <s v="-"/>
    <s v="-"/>
    <s v="-"/>
    <s v="-"/>
    <s v="-"/>
    <s v="-"/>
    <s v="-"/>
    <s v="-"/>
    <n v="9"/>
    <n v="2"/>
    <n v="4"/>
    <e v="#VALUE!"/>
  </r>
  <r>
    <x v="6"/>
    <x v="71"/>
    <x v="0"/>
    <n v="13"/>
    <n v="12"/>
    <n v="2"/>
    <n v="393"/>
    <n v="74"/>
    <n v="39.299999999999997"/>
    <n v="299"/>
    <n v="131.43"/>
    <n v="0"/>
    <n v="5"/>
    <n v="2"/>
    <n v="45"/>
    <n v="11"/>
    <s v="-"/>
    <s v="-"/>
    <s v="-"/>
    <s v="-"/>
    <s v="-"/>
    <s v="-"/>
    <s v="-"/>
    <s v="-"/>
    <s v="-"/>
    <s v="-"/>
    <s v="-"/>
    <n v="3"/>
    <n v="0"/>
    <n v="6"/>
    <e v="#VALUE!"/>
  </r>
  <r>
    <x v="6"/>
    <x v="71"/>
    <x v="1"/>
    <n v="13"/>
    <n v="13"/>
    <n v="1"/>
    <n v="299"/>
    <n v="72"/>
    <n v="24.91"/>
    <n v="180"/>
    <n v="166.11"/>
    <n v="0"/>
    <n v="2"/>
    <n v="1"/>
    <n v="25"/>
    <n v="19"/>
    <s v="-"/>
    <s v="-"/>
    <s v="-"/>
    <s v="-"/>
    <s v="-"/>
    <s v="-"/>
    <s v="-"/>
    <s v="-"/>
    <s v="-"/>
    <s v="-"/>
    <s v="-"/>
    <n v="5"/>
    <n v="0"/>
    <n v="15"/>
    <e v="#VALUE!"/>
  </r>
  <r>
    <x v="6"/>
    <x v="205"/>
    <x v="0"/>
    <n v="12"/>
    <n v="12"/>
    <n v="1"/>
    <n v="324"/>
    <n v="73"/>
    <n v="29.45"/>
    <n v="221"/>
    <n v="146.6"/>
    <n v="0"/>
    <n v="3"/>
    <n v="1"/>
    <n v="35"/>
    <n v="16"/>
    <n v="8"/>
    <n v="18"/>
    <n v="0"/>
    <n v="153"/>
    <n v="8"/>
    <d v="2020-08-04T00:00:00"/>
    <n v="19.12"/>
    <n v="8.5"/>
    <n v="13.5"/>
    <n v="1"/>
    <n v="0"/>
    <n v="7"/>
    <n v="0"/>
    <n v="9"/>
    <n v="19.125"/>
  </r>
  <r>
    <x v="6"/>
    <x v="205"/>
    <x v="1"/>
    <n v="12"/>
    <n v="12"/>
    <n v="1"/>
    <n v="239"/>
    <n v="74"/>
    <n v="21.72"/>
    <n v="156"/>
    <n v="153.19999999999999"/>
    <n v="0"/>
    <n v="2"/>
    <n v="2"/>
    <n v="32"/>
    <n v="8"/>
    <n v="9"/>
    <n v="13"/>
    <n v="0"/>
    <n v="148"/>
    <n v="2"/>
    <d v="2020-10-01T00:00:00"/>
    <n v="74"/>
    <n v="11.38"/>
    <n v="39"/>
    <n v="0"/>
    <n v="0"/>
    <n v="3"/>
    <n v="0"/>
    <n v="15"/>
    <n v="74"/>
  </r>
  <r>
    <x v="6"/>
    <x v="206"/>
    <x v="0"/>
    <n v="15"/>
    <n v="15"/>
    <n v="1"/>
    <n v="399"/>
    <n v="75"/>
    <n v="28.5"/>
    <n v="312"/>
    <n v="127.88"/>
    <n v="0"/>
    <n v="3"/>
    <n v="0"/>
    <n v="39"/>
    <n v="10"/>
    <n v="4"/>
    <n v="10"/>
    <n v="0"/>
    <n v="82"/>
    <n v="0"/>
    <s v="-"/>
    <s v="-"/>
    <n v="8.1999999999999993"/>
    <s v="-"/>
    <n v="0"/>
    <n v="0"/>
    <n v="7"/>
    <n v="0"/>
    <n v="5"/>
    <e v="#DIV/0!"/>
  </r>
  <r>
    <x v="6"/>
    <x v="206"/>
    <x v="1"/>
    <n v="14"/>
    <n v="14"/>
    <n v="3"/>
    <n v="442"/>
    <n v="84"/>
    <n v="40.18"/>
    <n v="307"/>
    <n v="143.97"/>
    <n v="0"/>
    <n v="3"/>
    <n v="0"/>
    <n v="42"/>
    <n v="13"/>
    <n v="6"/>
    <n v="12"/>
    <n v="0"/>
    <n v="102"/>
    <n v="1"/>
    <d v="2020-11-01T00:00:00"/>
    <n v="102"/>
    <n v="8.5"/>
    <n v="72"/>
    <n v="0"/>
    <n v="0"/>
    <n v="4"/>
    <n v="0"/>
    <n v="9"/>
    <n v="102"/>
  </r>
  <r>
    <x v="6"/>
    <x v="107"/>
    <x v="0"/>
    <n v="16"/>
    <n v="15"/>
    <n v="2"/>
    <n v="335"/>
    <n v="53"/>
    <n v="25.76"/>
    <n v="266"/>
    <n v="125.93"/>
    <n v="0"/>
    <n v="3"/>
    <n v="1"/>
    <n v="38"/>
    <n v="3"/>
    <s v="-"/>
    <s v="-"/>
    <s v="-"/>
    <s v="-"/>
    <s v="-"/>
    <s v="-"/>
    <s v="-"/>
    <s v="-"/>
    <s v="-"/>
    <s v="-"/>
    <s v="-"/>
    <n v="11"/>
    <n v="3"/>
    <n v="5"/>
    <e v="#VALUE!"/>
  </r>
  <r>
    <x v="6"/>
    <x v="107"/>
    <x v="1"/>
    <n v="14"/>
    <n v="13"/>
    <n v="3"/>
    <n v="361"/>
    <n v="65"/>
    <n v="36.1"/>
    <n v="259"/>
    <n v="139.38"/>
    <n v="0"/>
    <n v="2"/>
    <n v="1"/>
    <n v="30"/>
    <n v="11"/>
    <s v="-"/>
    <s v="-"/>
    <s v="-"/>
    <s v="-"/>
    <s v="-"/>
    <s v="-"/>
    <s v="-"/>
    <s v="-"/>
    <s v="-"/>
    <s v="-"/>
    <s v="-"/>
    <n v="8"/>
    <n v="0"/>
    <n v="3"/>
    <e v="#VALUE!"/>
  </r>
  <r>
    <x v="6"/>
    <x v="207"/>
    <x v="0"/>
    <n v="7"/>
    <n v="5"/>
    <n v="2"/>
    <n v="77"/>
    <n v="32"/>
    <n v="25.66"/>
    <n v="59"/>
    <n v="130.5"/>
    <n v="0"/>
    <n v="0"/>
    <n v="0"/>
    <n v="7"/>
    <n v="0"/>
    <n v="7"/>
    <n v="17"/>
    <n v="0"/>
    <n v="167"/>
    <n v="2"/>
    <d v="2023-01-01T00:00:00"/>
    <n v="83.5"/>
    <n v="9.82"/>
    <n v="51"/>
    <n v="0"/>
    <n v="0"/>
    <n v="3"/>
    <n v="0"/>
    <n v="14"/>
    <n v="83.5"/>
  </r>
  <r>
    <x v="6"/>
    <x v="207"/>
    <x v="1"/>
    <n v="8"/>
    <n v="6"/>
    <n v="2"/>
    <n v="54"/>
    <n v="21"/>
    <n v="13.5"/>
    <n v="57"/>
    <n v="94.73"/>
    <n v="0"/>
    <n v="0"/>
    <n v="0"/>
    <n v="4"/>
    <n v="0"/>
    <n v="8"/>
    <n v="26.2"/>
    <n v="0"/>
    <n v="258"/>
    <n v="6"/>
    <d v="1934-02-01T00:00:00"/>
    <n v="43"/>
    <n v="9.7899999999999991"/>
    <n v="26.3"/>
    <n v="0"/>
    <n v="0"/>
    <n v="3"/>
    <n v="0"/>
    <n v="10"/>
    <n v="43"/>
  </r>
  <r>
    <x v="6"/>
    <x v="171"/>
    <x v="0"/>
    <n v="16"/>
    <n v="16"/>
    <n v="0"/>
    <n v="354"/>
    <n v="60"/>
    <n v="22.12"/>
    <n v="262"/>
    <n v="135.11000000000001"/>
    <n v="0"/>
    <n v="1"/>
    <n v="1"/>
    <n v="38"/>
    <n v="16"/>
    <s v="-"/>
    <s v="-"/>
    <s v="-"/>
    <s v="-"/>
    <s v="-"/>
    <s v="-"/>
    <s v="-"/>
    <s v="-"/>
    <s v="-"/>
    <s v="-"/>
    <s v="-"/>
    <n v="0"/>
    <n v="0"/>
    <n v="17"/>
    <e v="#VALUE!"/>
  </r>
  <r>
    <x v="6"/>
    <x v="171"/>
    <x v="1"/>
    <n v="11"/>
    <n v="11"/>
    <n v="0"/>
    <n v="319"/>
    <n v="72"/>
    <n v="29"/>
    <n v="217"/>
    <n v="147"/>
    <n v="0"/>
    <n v="2"/>
    <n v="0"/>
    <n v="29"/>
    <n v="18"/>
    <s v="-"/>
    <s v="-"/>
    <s v="-"/>
    <s v="-"/>
    <s v="-"/>
    <s v="-"/>
    <s v="-"/>
    <s v="-"/>
    <s v="-"/>
    <s v="-"/>
    <s v="-"/>
    <n v="8"/>
    <n v="0"/>
    <n v="15"/>
    <e v="#VALUE!"/>
  </r>
  <r>
    <x v="6"/>
    <x v="208"/>
    <x v="0"/>
    <n v="15"/>
    <n v="15"/>
    <n v="6"/>
    <n v="191"/>
    <s v="36*"/>
    <n v="21.22"/>
    <n v="177"/>
    <n v="107.9"/>
    <n v="0"/>
    <n v="0"/>
    <n v="1"/>
    <n v="14"/>
    <n v="4"/>
    <n v="14"/>
    <n v="40.1"/>
    <n v="0"/>
    <n v="311"/>
    <n v="8"/>
    <d v="2018-02-01T00:00:00"/>
    <n v="38.869999999999997"/>
    <n v="7.74"/>
    <n v="30.1"/>
    <n v="0"/>
    <n v="0"/>
    <n v="4"/>
    <n v="0"/>
    <n v="10"/>
    <n v="38.875"/>
  </r>
  <r>
    <x v="6"/>
    <x v="208"/>
    <x v="1"/>
    <n v="12"/>
    <n v="10"/>
    <n v="6"/>
    <n v="158"/>
    <n v="28"/>
    <n v="39.5"/>
    <n v="113"/>
    <n v="139.82"/>
    <n v="0"/>
    <n v="0"/>
    <n v="0"/>
    <n v="13"/>
    <n v="4"/>
    <n v="12"/>
    <n v="38"/>
    <n v="0"/>
    <n v="349"/>
    <n v="5"/>
    <d v="2028-02-01T00:00:00"/>
    <n v="69.8"/>
    <n v="9.18"/>
    <n v="45.6"/>
    <n v="0"/>
    <n v="0"/>
    <n v="2"/>
    <n v="0"/>
    <n v="16"/>
    <n v="69.8"/>
  </r>
  <r>
    <x v="6"/>
    <x v="209"/>
    <x v="0"/>
    <n v="14"/>
    <n v="5"/>
    <n v="3"/>
    <n v="27"/>
    <n v="10"/>
    <n v="13.5"/>
    <n v="16"/>
    <n v="168.75"/>
    <n v="0"/>
    <n v="0"/>
    <n v="0"/>
    <n v="3"/>
    <n v="0"/>
    <n v="14"/>
    <n v="49"/>
    <n v="4"/>
    <n v="364"/>
    <n v="18"/>
    <d v="2014-04-01T00:00:00"/>
    <n v="20.22"/>
    <n v="7.42"/>
    <n v="16.3"/>
    <n v="1"/>
    <n v="0"/>
    <n v="2"/>
    <n v="0"/>
    <n v="9"/>
    <n v="20.222222222222221"/>
  </r>
  <r>
    <x v="6"/>
    <x v="209"/>
    <x v="1"/>
    <n v="6"/>
    <n v="1"/>
    <n v="0"/>
    <n v="1"/>
    <n v="1"/>
    <n v="1"/>
    <n v="2"/>
    <n v="50"/>
    <n v="0"/>
    <n v="0"/>
    <n v="0"/>
    <n v="0"/>
    <n v="0"/>
    <n v="6"/>
    <n v="18.5"/>
    <n v="0"/>
    <n v="173"/>
    <n v="3"/>
    <d v="2024-01-01T00:00:00"/>
    <n v="57.66"/>
    <n v="9.18"/>
    <n v="37.6"/>
    <n v="0"/>
    <n v="0"/>
    <n v="1"/>
    <n v="0"/>
    <n v="4"/>
    <n v="57.666666666666664"/>
  </r>
  <r>
    <x v="6"/>
    <x v="210"/>
    <x v="0"/>
    <n v="15"/>
    <n v="13"/>
    <n v="5"/>
    <n v="99"/>
    <s v="22*"/>
    <n v="12.37"/>
    <n v="82"/>
    <n v="120.73"/>
    <n v="0"/>
    <n v="0"/>
    <n v="1"/>
    <n v="11"/>
    <n v="1"/>
    <n v="15"/>
    <n v="56"/>
    <n v="0"/>
    <n v="494"/>
    <n v="17"/>
    <d v="2022-04-01T00:00:00"/>
    <n v="29.05"/>
    <n v="8.82"/>
    <n v="19.7"/>
    <n v="1"/>
    <n v="0"/>
    <n v="6"/>
    <n v="0"/>
    <n v="14"/>
    <n v="29.058823529411764"/>
  </r>
  <r>
    <x v="6"/>
    <x v="211"/>
    <x v="0"/>
    <n v="4"/>
    <n v="2"/>
    <n v="0"/>
    <n v="24"/>
    <n v="19"/>
    <n v="12"/>
    <n v="14"/>
    <n v="171.42"/>
    <n v="0"/>
    <n v="0"/>
    <n v="0"/>
    <n v="2"/>
    <n v="2"/>
    <s v="-"/>
    <s v="-"/>
    <s v="-"/>
    <s v="-"/>
    <s v="-"/>
    <s v="-"/>
    <s v="-"/>
    <s v="-"/>
    <s v="-"/>
    <s v="-"/>
    <s v="-"/>
    <n v="2"/>
    <n v="0"/>
    <n v="16"/>
    <e v="#VALUE!"/>
  </r>
  <r>
    <x v="6"/>
    <x v="142"/>
    <x v="0"/>
    <n v="5"/>
    <n v="5"/>
    <n v="0"/>
    <n v="42"/>
    <n v="27"/>
    <n v="8.4"/>
    <n v="41"/>
    <n v="102.43"/>
    <n v="0"/>
    <n v="0"/>
    <n v="1"/>
    <n v="5"/>
    <n v="0"/>
    <s v="-"/>
    <s v="-"/>
    <s v="-"/>
    <s v="-"/>
    <s v="-"/>
    <s v="-"/>
    <s v="-"/>
    <s v="-"/>
    <s v="-"/>
    <s v="-"/>
    <s v="-"/>
    <n v="1"/>
    <n v="0"/>
    <n v="15"/>
    <e v="#VALUE!"/>
  </r>
  <r>
    <x v="6"/>
    <x v="142"/>
    <x v="1"/>
    <n v="11"/>
    <n v="10"/>
    <n v="0"/>
    <n v="277"/>
    <n v="61"/>
    <n v="27.7"/>
    <n v="206"/>
    <n v="134.46"/>
    <n v="0"/>
    <n v="1"/>
    <n v="0"/>
    <n v="29"/>
    <n v="13"/>
    <s v="-"/>
    <s v="-"/>
    <s v="-"/>
    <s v="-"/>
    <s v="-"/>
    <s v="-"/>
    <s v="-"/>
    <s v="-"/>
    <s v="-"/>
    <s v="-"/>
    <s v="-"/>
    <n v="3"/>
    <n v="0"/>
    <n v="10"/>
    <e v="#VALUE!"/>
  </r>
  <r>
    <x v="6"/>
    <x v="72"/>
    <x v="0"/>
    <n v="4"/>
    <n v="3"/>
    <n v="0"/>
    <n v="20"/>
    <n v="12"/>
    <n v="6.66"/>
    <n v="27"/>
    <n v="74.069999999999993"/>
    <n v="0"/>
    <n v="0"/>
    <n v="0"/>
    <n v="1"/>
    <n v="0"/>
    <s v="-"/>
    <s v="-"/>
    <s v="-"/>
    <s v="-"/>
    <s v="-"/>
    <s v="-"/>
    <s v="-"/>
    <s v="-"/>
    <s v="-"/>
    <s v="-"/>
    <s v="-"/>
    <n v="0"/>
    <n v="0"/>
    <n v="13"/>
    <e v="#VALUE!"/>
  </r>
  <r>
    <x v="6"/>
    <x v="72"/>
    <x v="1"/>
    <n v="1"/>
    <n v="1"/>
    <n v="0"/>
    <n v="0"/>
    <n v="0"/>
    <n v="0"/>
    <n v="1"/>
    <n v="0"/>
    <n v="0"/>
    <n v="0"/>
    <n v="1"/>
    <n v="0"/>
    <n v="0"/>
    <s v="-"/>
    <s v="-"/>
    <s v="-"/>
    <s v="-"/>
    <s v="-"/>
    <s v="-"/>
    <s v="-"/>
    <s v="-"/>
    <s v="-"/>
    <s v="-"/>
    <s v="-"/>
    <n v="0"/>
    <n v="0"/>
    <n v="5"/>
    <e v="#VALUE!"/>
  </r>
  <r>
    <x v="6"/>
    <x v="212"/>
    <x v="0"/>
    <n v="16"/>
    <n v="7"/>
    <n v="3"/>
    <n v="24"/>
    <n v="15"/>
    <n v="6"/>
    <n v="26"/>
    <n v="92.3"/>
    <n v="0"/>
    <n v="0"/>
    <n v="1"/>
    <n v="3"/>
    <n v="0"/>
    <n v="16"/>
    <n v="51.3"/>
    <n v="2"/>
    <n v="401"/>
    <n v="9"/>
    <d v="2019-02-01T00:00:00"/>
    <n v="44.55"/>
    <n v="7.78"/>
    <n v="34.299999999999997"/>
    <n v="0"/>
    <n v="0"/>
    <n v="2"/>
    <n v="0"/>
    <n v="17"/>
    <n v="44.555555555555557"/>
  </r>
  <r>
    <x v="6"/>
    <x v="212"/>
    <x v="1"/>
    <n v="6"/>
    <n v="2"/>
    <n v="1"/>
    <n v="8"/>
    <s v="7*"/>
    <n v="8"/>
    <n v="9"/>
    <n v="88.88"/>
    <n v="0"/>
    <n v="0"/>
    <n v="0"/>
    <n v="0"/>
    <n v="0"/>
    <n v="6"/>
    <n v="16.3"/>
    <n v="0"/>
    <n v="151"/>
    <n v="6"/>
    <d v="2022-02-01T00:00:00"/>
    <n v="25.16"/>
    <n v="9.15"/>
    <n v="16.5"/>
    <n v="0"/>
    <n v="0"/>
    <n v="0"/>
    <n v="0"/>
    <n v="11"/>
    <n v="25.166666666666668"/>
  </r>
  <r>
    <x v="6"/>
    <x v="172"/>
    <x v="0"/>
    <n v="1"/>
    <n v="1"/>
    <n v="0"/>
    <n v="1"/>
    <n v="1"/>
    <n v="1"/>
    <n v="2"/>
    <n v="50"/>
    <n v="0"/>
    <n v="0"/>
    <n v="0"/>
    <n v="0"/>
    <n v="0"/>
    <n v="1"/>
    <n v="2"/>
    <n v="0"/>
    <n v="17"/>
    <n v="0"/>
    <s v="-"/>
    <s v="-"/>
    <n v="8.5"/>
    <s v="-"/>
    <n v="0"/>
    <n v="0"/>
    <n v="0"/>
    <n v="0"/>
    <n v="3"/>
    <e v="#DIV/0!"/>
  </r>
  <r>
    <x v="6"/>
    <x v="213"/>
    <x v="0"/>
    <n v="7"/>
    <n v="2"/>
    <n v="1"/>
    <n v="0"/>
    <s v="0*"/>
    <n v="0"/>
    <n v="1"/>
    <n v="0"/>
    <n v="0"/>
    <n v="0"/>
    <n v="1"/>
    <n v="0"/>
    <n v="0"/>
    <n v="7"/>
    <n v="23"/>
    <n v="0"/>
    <n v="192"/>
    <n v="6"/>
    <d v="2020-03-01T00:00:00"/>
    <n v="32"/>
    <n v="8.34"/>
    <n v="23"/>
    <n v="0"/>
    <n v="0"/>
    <n v="0"/>
    <n v="0"/>
    <n v="6"/>
    <n v="32"/>
  </r>
  <r>
    <x v="6"/>
    <x v="213"/>
    <x v="1"/>
    <n v="3"/>
    <s v="-"/>
    <s v="-"/>
    <s v="-"/>
    <s v="-"/>
    <s v="-"/>
    <s v="-"/>
    <s v="-"/>
    <s v="-"/>
    <s v="-"/>
    <s v="-"/>
    <s v="-"/>
    <s v="-"/>
    <n v="3"/>
    <n v="11"/>
    <n v="0"/>
    <n v="105"/>
    <n v="0"/>
    <s v="-"/>
    <s v="-"/>
    <n v="9.5399999999999991"/>
    <s v="-"/>
    <n v="0"/>
    <n v="0"/>
    <n v="0"/>
    <n v="0"/>
    <n v="4"/>
    <e v="#DIV/0!"/>
  </r>
  <r>
    <x v="6"/>
    <x v="214"/>
    <x v="0"/>
    <n v="7"/>
    <n v="1"/>
    <n v="1"/>
    <n v="7"/>
    <s v="7*"/>
    <s v="-"/>
    <n v="19"/>
    <n v="36.840000000000003"/>
    <n v="0"/>
    <n v="0"/>
    <n v="0"/>
    <n v="1"/>
    <n v="0"/>
    <n v="7"/>
    <n v="16"/>
    <n v="0"/>
    <n v="143"/>
    <n v="5"/>
    <d v="2020-12-02T00:00:00"/>
    <n v="28.6"/>
    <n v="8.93"/>
    <n v="19.2"/>
    <n v="0"/>
    <n v="0"/>
    <n v="1"/>
    <n v="0"/>
    <n v="6"/>
    <n v="28.6"/>
  </r>
  <r>
    <x v="6"/>
    <x v="215"/>
    <x v="0"/>
    <n v="6"/>
    <n v="1"/>
    <n v="1"/>
    <n v="1"/>
    <s v="1*"/>
    <s v="-"/>
    <n v="2"/>
    <n v="50"/>
    <n v="0"/>
    <n v="0"/>
    <n v="0"/>
    <n v="0"/>
    <n v="0"/>
    <n v="6"/>
    <n v="20"/>
    <n v="0"/>
    <n v="178"/>
    <n v="2"/>
    <d v="2013-01-01T00:00:00"/>
    <n v="89"/>
    <n v="8.9"/>
    <n v="60"/>
    <n v="0"/>
    <n v="0"/>
    <n v="4"/>
    <n v="0"/>
    <n v="9"/>
    <n v="89"/>
  </r>
  <r>
    <x v="6"/>
    <x v="215"/>
    <x v="1"/>
    <n v="2"/>
    <s v="-"/>
    <s v="-"/>
    <s v="-"/>
    <s v="-"/>
    <s v="-"/>
    <s v="-"/>
    <s v="-"/>
    <s v="-"/>
    <s v="-"/>
    <s v="-"/>
    <s v="-"/>
    <s v="-"/>
    <n v="2"/>
    <n v="5"/>
    <n v="0"/>
    <n v="52"/>
    <n v="0"/>
    <s v="-"/>
    <s v="-"/>
    <n v="10.4"/>
    <s v="-"/>
    <n v="0"/>
    <n v="0"/>
    <n v="0"/>
    <n v="0"/>
    <n v="9"/>
    <e v="#DIV/0!"/>
  </r>
  <r>
    <x v="6"/>
    <x v="216"/>
    <x v="0"/>
    <n v="1"/>
    <s v="-"/>
    <s v="-"/>
    <s v="-"/>
    <s v="-"/>
    <s v="-"/>
    <s v="-"/>
    <s v="-"/>
    <s v="-"/>
    <s v="-"/>
    <s v="-"/>
    <s v="-"/>
    <s v="-"/>
    <n v="1"/>
    <n v="2"/>
    <n v="0"/>
    <n v="21"/>
    <n v="0"/>
    <s v="-"/>
    <s v="-"/>
    <n v="10.5"/>
    <s v="-"/>
    <n v="0"/>
    <n v="0"/>
    <n v="0"/>
    <n v="0"/>
    <n v="7"/>
    <e v="#DIV/0!"/>
  </r>
  <r>
    <x v="6"/>
    <x v="143"/>
    <x v="0"/>
    <n v="2"/>
    <s v="-"/>
    <s v="-"/>
    <s v="-"/>
    <s v="-"/>
    <s v="-"/>
    <s v="-"/>
    <s v="-"/>
    <s v="-"/>
    <s v="-"/>
    <s v="-"/>
    <s v="-"/>
    <s v="-"/>
    <n v="2"/>
    <n v="4"/>
    <n v="0"/>
    <n v="49"/>
    <n v="0"/>
    <s v="-"/>
    <s v="-"/>
    <n v="12.25"/>
    <s v="-"/>
    <n v="0"/>
    <n v="0"/>
    <n v="1"/>
    <n v="0"/>
    <n v="7"/>
    <e v="#DIV/0!"/>
  </r>
  <r>
    <x v="6"/>
    <x v="143"/>
    <x v="1"/>
    <n v="5"/>
    <n v="3"/>
    <n v="1"/>
    <n v="2"/>
    <s v="1*"/>
    <n v="1"/>
    <n v="4"/>
    <n v="50"/>
    <n v="0"/>
    <n v="0"/>
    <n v="1"/>
    <n v="0"/>
    <n v="0"/>
    <n v="5"/>
    <n v="18"/>
    <n v="0"/>
    <n v="181"/>
    <n v="5"/>
    <d v="1938-02-01T00:00:00"/>
    <n v="36.200000000000003"/>
    <n v="10.050000000000001"/>
    <n v="21.6"/>
    <n v="0"/>
    <n v="0"/>
    <n v="0"/>
    <n v="0"/>
    <n v="7"/>
    <n v="36.200000000000003"/>
  </r>
  <r>
    <x v="6"/>
    <x v="217"/>
    <x v="1"/>
    <n v="1"/>
    <n v="1"/>
    <n v="0"/>
    <n v="2"/>
    <n v="2"/>
    <n v="2"/>
    <n v="3"/>
    <n v="66.66"/>
    <n v="0"/>
    <n v="0"/>
    <n v="0"/>
    <n v="0"/>
    <n v="0"/>
    <n v="1"/>
    <n v="2"/>
    <n v="0"/>
    <n v="26"/>
    <n v="0"/>
    <s v="-"/>
    <s v="-"/>
    <n v="13"/>
    <s v="-"/>
    <n v="0"/>
    <n v="0"/>
    <n v="0"/>
    <n v="0"/>
    <n v="7"/>
    <e v="#DIV/0!"/>
  </r>
  <r>
    <x v="6"/>
    <x v="34"/>
    <x v="1"/>
    <n v="3"/>
    <n v="3"/>
    <n v="1"/>
    <n v="59"/>
    <n v="31"/>
    <n v="29.5"/>
    <n v="40"/>
    <n v="147.5"/>
    <n v="0"/>
    <n v="0"/>
    <n v="0"/>
    <n v="9"/>
    <n v="1"/>
    <s v="-"/>
    <s v="-"/>
    <s v="-"/>
    <s v="-"/>
    <s v="-"/>
    <s v="-"/>
    <s v="-"/>
    <s v="-"/>
    <s v="-"/>
    <s v="-"/>
    <s v="-"/>
    <n v="1"/>
    <n v="0"/>
    <n v="11"/>
    <e v="#VALUE!"/>
  </r>
  <r>
    <x v="6"/>
    <x v="78"/>
    <x v="1"/>
    <n v="6"/>
    <n v="3"/>
    <n v="1"/>
    <n v="53"/>
    <n v="25"/>
    <n v="26.5"/>
    <n v="30"/>
    <n v="176.66"/>
    <n v="0"/>
    <n v="0"/>
    <n v="0"/>
    <n v="4"/>
    <n v="3"/>
    <n v="6"/>
    <n v="21"/>
    <n v="0"/>
    <n v="141"/>
    <n v="12"/>
    <d v="2017-05-01T00:00:00"/>
    <n v="11.75"/>
    <n v="6.71"/>
    <n v="10.5"/>
    <n v="0"/>
    <n v="1"/>
    <n v="0"/>
    <n v="0"/>
    <n v="6"/>
    <n v="11.75"/>
  </r>
  <r>
    <x v="6"/>
    <x v="218"/>
    <x v="1"/>
    <n v="7"/>
    <n v="3"/>
    <n v="1"/>
    <n v="7"/>
    <s v="7*"/>
    <n v="3.5"/>
    <n v="9"/>
    <n v="77.77"/>
    <n v="0"/>
    <n v="0"/>
    <n v="2"/>
    <n v="0"/>
    <n v="1"/>
    <n v="6"/>
    <n v="18.100000000000001"/>
    <n v="0"/>
    <n v="144"/>
    <n v="2"/>
    <d v="2016-01-01T00:00:00"/>
    <n v="72"/>
    <n v="7.92"/>
    <n v="54.5"/>
    <n v="0"/>
    <n v="0"/>
    <n v="1"/>
    <n v="0"/>
    <n v="3"/>
    <n v="72"/>
  </r>
  <r>
    <x v="6"/>
    <x v="219"/>
    <x v="1"/>
    <n v="2"/>
    <n v="1"/>
    <n v="0"/>
    <n v="0"/>
    <n v="0"/>
    <n v="0"/>
    <n v="1"/>
    <n v="0"/>
    <n v="0"/>
    <n v="0"/>
    <n v="1"/>
    <n v="0"/>
    <n v="0"/>
    <n v="2"/>
    <n v="7"/>
    <n v="0"/>
    <n v="57"/>
    <n v="1"/>
    <d v="1935-01-01T00:00:00"/>
    <n v="57"/>
    <n v="8.14"/>
    <n v="42"/>
    <n v="0"/>
    <n v="0"/>
    <n v="0"/>
    <n v="0"/>
    <n v="18"/>
    <n v="57"/>
  </r>
  <r>
    <x v="6"/>
    <x v="199"/>
    <x v="1"/>
    <n v="12"/>
    <n v="5"/>
    <n v="5"/>
    <n v="28"/>
    <s v="13*"/>
    <s v="-"/>
    <n v="28"/>
    <n v="100"/>
    <n v="0"/>
    <n v="0"/>
    <n v="0"/>
    <n v="1"/>
    <n v="1"/>
    <n v="12"/>
    <n v="44.4"/>
    <n v="0"/>
    <n v="424"/>
    <n v="11"/>
    <d v="2029-03-01T00:00:00"/>
    <n v="38.54"/>
    <n v="9.49"/>
    <n v="24.3"/>
    <n v="0"/>
    <n v="0"/>
    <n v="2"/>
    <n v="0"/>
    <n v="13"/>
    <n v="38.545454545454547"/>
  </r>
  <r>
    <x v="6"/>
    <x v="220"/>
    <x v="1"/>
    <n v="1"/>
    <s v="-"/>
    <s v="-"/>
    <s v="-"/>
    <s v="-"/>
    <s v="-"/>
    <s v="-"/>
    <s v="-"/>
    <s v="-"/>
    <s v="-"/>
    <s v="-"/>
    <s v="-"/>
    <s v="-"/>
    <n v="1"/>
    <n v="4"/>
    <n v="0"/>
    <n v="42"/>
    <n v="1"/>
    <d v="1942-01-01T00:00:00"/>
    <n v="42"/>
    <n v="10.5"/>
    <n v="24"/>
    <n v="0"/>
    <n v="0"/>
    <n v="1"/>
    <n v="0"/>
    <n v="9"/>
    <n v="42"/>
  </r>
  <r>
    <x v="6"/>
    <x v="221"/>
    <x v="1"/>
    <n v="1"/>
    <s v="-"/>
    <s v="-"/>
    <s v="-"/>
    <s v="-"/>
    <s v="-"/>
    <s v="-"/>
    <s v="-"/>
    <s v="-"/>
    <s v="-"/>
    <s v="-"/>
    <s v="-"/>
    <s v="-"/>
    <n v="1"/>
    <n v="2"/>
    <n v="0"/>
    <n v="32"/>
    <n v="0"/>
    <s v="-"/>
    <s v="-"/>
    <n v="16"/>
    <s v="-"/>
    <n v="0"/>
    <n v="0"/>
    <n v="0"/>
    <n v="0"/>
    <n v="12"/>
    <e v="#DIV/0!"/>
  </r>
  <r>
    <x v="6"/>
    <x v="222"/>
    <x v="1"/>
    <n v="2"/>
    <s v="-"/>
    <s v="-"/>
    <s v="-"/>
    <s v="-"/>
    <s v="-"/>
    <s v="-"/>
    <s v="-"/>
    <s v="-"/>
    <s v="-"/>
    <s v="-"/>
    <s v="-"/>
    <s v="-"/>
    <n v="2"/>
    <n v="4"/>
    <n v="0"/>
    <n v="15"/>
    <n v="1"/>
    <d v="2020-07-01T00:00:00"/>
    <n v="15"/>
    <n v="3.75"/>
    <n v="24"/>
    <n v="0"/>
    <n v="0"/>
    <n v="0"/>
    <n v="0"/>
    <n v="9"/>
    <n v="15"/>
  </r>
  <r>
    <x v="6"/>
    <x v="223"/>
    <x v="1"/>
    <n v="1"/>
    <s v="-"/>
    <s v="-"/>
    <s v="-"/>
    <s v="-"/>
    <s v="-"/>
    <s v="-"/>
    <s v="-"/>
    <s v="-"/>
    <s v="-"/>
    <s v="-"/>
    <s v="-"/>
    <s v="-"/>
    <n v="1"/>
    <n v="3.3"/>
    <n v="0"/>
    <n v="33"/>
    <n v="0"/>
    <s v="-"/>
    <s v="-"/>
    <n v="9.42"/>
    <s v="-"/>
    <n v="0"/>
    <n v="0"/>
    <n v="0"/>
    <n v="0"/>
    <n v="9"/>
    <e v="#DIV/0!"/>
  </r>
  <r>
    <x v="7"/>
    <x v="224"/>
    <x v="0"/>
    <n v="8"/>
    <n v="7"/>
    <n v="1"/>
    <n v="270"/>
    <n v="101"/>
    <n v="45"/>
    <n v="176"/>
    <n v="153.4"/>
    <n v="1"/>
    <n v="0"/>
    <n v="0"/>
    <n v="27"/>
    <n v="8"/>
    <s v="-"/>
    <s v="-"/>
    <s v="-"/>
    <s v="-"/>
    <s v="-"/>
    <s v="-"/>
    <s v="-"/>
    <s v="-"/>
    <s v="-"/>
    <s v="-"/>
    <s v="-"/>
    <n v="2"/>
    <n v="0"/>
    <n v="18"/>
    <e v="#VALUE!"/>
  </r>
  <r>
    <x v="7"/>
    <x v="225"/>
    <x v="0"/>
    <n v="14"/>
    <n v="14"/>
    <n v="3"/>
    <n v="480"/>
    <n v="74"/>
    <n v="43.63"/>
    <n v="379"/>
    <n v="126.64"/>
    <n v="0"/>
    <n v="6"/>
    <n v="2"/>
    <n v="54"/>
    <n v="9"/>
    <s v="-"/>
    <s v="-"/>
    <s v="-"/>
    <s v="-"/>
    <s v="-"/>
    <s v="-"/>
    <s v="-"/>
    <s v="-"/>
    <s v="-"/>
    <s v="-"/>
    <s v="-"/>
    <n v="7"/>
    <n v="0"/>
    <n v="7"/>
    <e v="#VALUE!"/>
  </r>
  <r>
    <x v="7"/>
    <x v="226"/>
    <x v="0"/>
    <n v="14"/>
    <n v="12"/>
    <n v="5"/>
    <n v="284"/>
    <s v="64*"/>
    <n v="40.57"/>
    <n v="210"/>
    <n v="135.22999999999999"/>
    <n v="0"/>
    <n v="1"/>
    <n v="0"/>
    <n v="18"/>
    <n v="14"/>
    <s v="-"/>
    <s v="-"/>
    <s v="-"/>
    <s v="-"/>
    <s v="-"/>
    <s v="-"/>
    <s v="-"/>
    <s v="-"/>
    <s v="-"/>
    <s v="-"/>
    <s v="-"/>
    <n v="8"/>
    <n v="4"/>
    <n v="4"/>
    <e v="#VALUE!"/>
  </r>
  <r>
    <x v="7"/>
    <x v="227"/>
    <x v="0"/>
    <n v="4"/>
    <n v="4"/>
    <n v="2"/>
    <n v="73"/>
    <n v="37"/>
    <n v="36.5"/>
    <n v="61"/>
    <n v="119.67"/>
    <n v="0"/>
    <n v="0"/>
    <n v="0"/>
    <n v="4"/>
    <n v="3"/>
    <s v="-"/>
    <s v="-"/>
    <s v="-"/>
    <s v="-"/>
    <s v="-"/>
    <s v="-"/>
    <s v="-"/>
    <s v="-"/>
    <s v="-"/>
    <s v="-"/>
    <s v="-"/>
    <n v="1"/>
    <n v="0"/>
    <n v="4"/>
    <e v="#VALUE!"/>
  </r>
  <r>
    <x v="7"/>
    <x v="228"/>
    <x v="0"/>
    <n v="6"/>
    <n v="6"/>
    <n v="0"/>
    <n v="206"/>
    <n v="69"/>
    <n v="34.33"/>
    <n v="162"/>
    <n v="127.16"/>
    <n v="0"/>
    <n v="2"/>
    <n v="0"/>
    <n v="17"/>
    <n v="9"/>
    <s v="-"/>
    <s v="-"/>
    <s v="-"/>
    <s v="-"/>
    <s v="-"/>
    <s v="-"/>
    <s v="-"/>
    <s v="-"/>
    <s v="-"/>
    <s v="-"/>
    <s v="-"/>
    <n v="4"/>
    <n v="0"/>
    <n v="12"/>
    <e v="#VALUE!"/>
  </r>
  <r>
    <x v="7"/>
    <x v="229"/>
    <x v="0"/>
    <n v="10"/>
    <n v="6"/>
    <n v="5"/>
    <n v="34"/>
    <n v="21"/>
    <n v="34"/>
    <n v="20"/>
    <n v="170"/>
    <n v="0"/>
    <n v="0"/>
    <n v="0"/>
    <n v="1"/>
    <n v="2"/>
    <n v="10"/>
    <n v="34"/>
    <n v="1"/>
    <n v="244"/>
    <n v="6"/>
    <d v="2019-02-01T00:00:00"/>
    <n v="40.659999999999997"/>
    <n v="7.17"/>
    <n v="34"/>
    <n v="0"/>
    <n v="0"/>
    <n v="2"/>
    <n v="0"/>
    <n v="17"/>
    <n v="40.666666666666664"/>
  </r>
  <r>
    <x v="7"/>
    <x v="144"/>
    <x v="0"/>
    <n v="10"/>
    <n v="8"/>
    <n v="1"/>
    <n v="170"/>
    <n v="57"/>
    <n v="24.28"/>
    <n v="141"/>
    <n v="120.56"/>
    <n v="0"/>
    <n v="2"/>
    <n v="0"/>
    <n v="17"/>
    <n v="4"/>
    <s v="-"/>
    <s v="-"/>
    <s v="-"/>
    <s v="-"/>
    <s v="-"/>
    <s v="-"/>
    <s v="-"/>
    <s v="-"/>
    <s v="-"/>
    <s v="-"/>
    <s v="-"/>
    <n v="4"/>
    <n v="0"/>
    <n v="5"/>
    <e v="#VALUE!"/>
  </r>
  <r>
    <x v="7"/>
    <x v="230"/>
    <x v="0"/>
    <n v="12"/>
    <n v="10"/>
    <n v="3"/>
    <n v="150"/>
    <n v="34"/>
    <n v="21.42"/>
    <n v="93"/>
    <n v="161.29"/>
    <n v="0"/>
    <n v="0"/>
    <n v="0"/>
    <n v="7"/>
    <n v="11"/>
    <n v="11"/>
    <n v="33.1"/>
    <n v="0"/>
    <n v="326"/>
    <n v="9"/>
    <d v="1934-03-01T00:00:00"/>
    <n v="36.22"/>
    <n v="9.82"/>
    <n v="22.1"/>
    <n v="0"/>
    <n v="0"/>
    <n v="5"/>
    <n v="0"/>
    <n v="6"/>
    <n v="36.222222222222221"/>
  </r>
  <r>
    <x v="7"/>
    <x v="231"/>
    <x v="0"/>
    <n v="6"/>
    <n v="6"/>
    <n v="0"/>
    <n v="127"/>
    <n v="30"/>
    <n v="21.16"/>
    <n v="100"/>
    <n v="127"/>
    <n v="0"/>
    <n v="0"/>
    <n v="0"/>
    <n v="14"/>
    <n v="3"/>
    <s v="-"/>
    <s v="-"/>
    <s v="-"/>
    <s v="-"/>
    <s v="-"/>
    <s v="-"/>
    <s v="-"/>
    <s v="-"/>
    <s v="-"/>
    <s v="-"/>
    <s v="-"/>
    <n v="1"/>
    <n v="0"/>
    <n v="18"/>
    <e v="#VALUE!"/>
  </r>
  <r>
    <x v="7"/>
    <x v="232"/>
    <x v="0"/>
    <n v="6"/>
    <n v="5"/>
    <n v="1"/>
    <n v="84"/>
    <n v="34"/>
    <n v="21"/>
    <n v="98"/>
    <n v="85.71"/>
    <n v="0"/>
    <n v="0"/>
    <n v="1"/>
    <n v="9"/>
    <n v="2"/>
    <s v="-"/>
    <s v="-"/>
    <s v="-"/>
    <s v="-"/>
    <s v="-"/>
    <s v="-"/>
    <s v="-"/>
    <s v="-"/>
    <s v="-"/>
    <s v="-"/>
    <s v="-"/>
    <n v="2"/>
    <n v="0"/>
    <n v="17"/>
    <e v="#VALUE!"/>
  </r>
  <r>
    <x v="7"/>
    <x v="73"/>
    <x v="0"/>
    <n v="14"/>
    <n v="6"/>
    <n v="4"/>
    <n v="41"/>
    <n v="29"/>
    <n v="20.5"/>
    <n v="38"/>
    <n v="107.89"/>
    <n v="0"/>
    <n v="0"/>
    <n v="1"/>
    <n v="3"/>
    <n v="1"/>
    <n v="14"/>
    <n v="44"/>
    <n v="0"/>
    <n v="319"/>
    <n v="10"/>
    <d v="1934-04-01T00:00:00"/>
    <n v="31.9"/>
    <n v="7.25"/>
    <n v="26.4"/>
    <n v="1"/>
    <n v="0"/>
    <n v="3"/>
    <n v="0"/>
    <n v="18"/>
    <n v="31.9"/>
  </r>
  <r>
    <x v="7"/>
    <x v="233"/>
    <x v="0"/>
    <n v="2"/>
    <n v="1"/>
    <n v="0"/>
    <n v="16"/>
    <n v="16"/>
    <n v="16"/>
    <n v="9"/>
    <n v="177.77"/>
    <n v="0"/>
    <n v="0"/>
    <n v="0"/>
    <n v="0"/>
    <n v="2"/>
    <n v="2"/>
    <n v="5"/>
    <n v="0"/>
    <n v="66"/>
    <n v="2"/>
    <d v="1936-02-01T00:00:00"/>
    <n v="33"/>
    <n v="13.2"/>
    <n v="15"/>
    <n v="0"/>
    <n v="0"/>
    <n v="1"/>
    <n v="0"/>
    <n v="11"/>
    <n v="33"/>
  </r>
  <r>
    <x v="7"/>
    <x v="234"/>
    <x v="0"/>
    <n v="3"/>
    <n v="1"/>
    <n v="0"/>
    <n v="7"/>
    <n v="7"/>
    <n v="7"/>
    <n v="11"/>
    <n v="63.63"/>
    <n v="0"/>
    <n v="0"/>
    <n v="0"/>
    <n v="0"/>
    <n v="0"/>
    <n v="3"/>
    <n v="9"/>
    <n v="0"/>
    <n v="45"/>
    <n v="4"/>
    <d v="2014-02-01T00:00:00"/>
    <n v="11.25"/>
    <n v="5"/>
    <n v="13.5"/>
    <n v="0"/>
    <n v="0"/>
    <n v="0"/>
    <n v="0"/>
    <n v="10"/>
    <n v="11.25"/>
  </r>
  <r>
    <x v="7"/>
    <x v="235"/>
    <x v="0"/>
    <n v="2"/>
    <n v="1"/>
    <n v="0"/>
    <n v="6"/>
    <n v="6"/>
    <n v="6"/>
    <n v="12"/>
    <n v="50"/>
    <n v="0"/>
    <n v="0"/>
    <n v="0"/>
    <n v="0"/>
    <n v="0"/>
    <s v="-"/>
    <s v="-"/>
    <s v="-"/>
    <s v="-"/>
    <s v="-"/>
    <s v="-"/>
    <s v="-"/>
    <s v="-"/>
    <s v="-"/>
    <s v="-"/>
    <s v="-"/>
    <n v="0"/>
    <n v="0"/>
    <n v="8"/>
    <e v="#VALUE!"/>
  </r>
  <r>
    <x v="7"/>
    <x v="217"/>
    <x v="0"/>
    <n v="4"/>
    <n v="3"/>
    <n v="0"/>
    <n v="11"/>
    <n v="7"/>
    <n v="3.66"/>
    <n v="13"/>
    <n v="84.61"/>
    <n v="0"/>
    <n v="0"/>
    <n v="0"/>
    <n v="0"/>
    <n v="0"/>
    <n v="3"/>
    <n v="8"/>
    <n v="0"/>
    <n v="61"/>
    <n v="0"/>
    <s v="-"/>
    <s v="-"/>
    <n v="7.62"/>
    <s v="-"/>
    <n v="0"/>
    <n v="0"/>
    <n v="1"/>
    <n v="0"/>
    <n v="17"/>
    <e v="#DIV/0!"/>
  </r>
  <r>
    <x v="7"/>
    <x v="74"/>
    <x v="0"/>
    <n v="10"/>
    <n v="1"/>
    <n v="0"/>
    <n v="0"/>
    <n v="0"/>
    <n v="0"/>
    <n v="1"/>
    <n v="0"/>
    <n v="0"/>
    <n v="0"/>
    <n v="1"/>
    <n v="0"/>
    <n v="0"/>
    <n v="10"/>
    <n v="28.3"/>
    <n v="0"/>
    <n v="241"/>
    <n v="7"/>
    <d v="1936-03-01T00:00:00"/>
    <n v="34.42"/>
    <n v="8.4499999999999993"/>
    <n v="24.4"/>
    <n v="0"/>
    <n v="0"/>
    <n v="0"/>
    <n v="0"/>
    <n v="12"/>
    <n v="34.428571428571431"/>
  </r>
  <r>
    <x v="7"/>
    <x v="236"/>
    <x v="0"/>
    <n v="5"/>
    <n v="1"/>
    <n v="0"/>
    <n v="0"/>
    <n v="0"/>
    <n v="0"/>
    <n v="1"/>
    <n v="0"/>
    <n v="0"/>
    <n v="0"/>
    <n v="1"/>
    <n v="0"/>
    <n v="0"/>
    <n v="5"/>
    <n v="17"/>
    <n v="0"/>
    <n v="115"/>
    <n v="12"/>
    <d v="2019-06-01T00:00:00"/>
    <n v="9.58"/>
    <n v="6.76"/>
    <n v="8.5"/>
    <n v="0"/>
    <n v="1"/>
    <n v="0"/>
    <n v="0"/>
    <n v="7"/>
    <n v="9.5833333333333339"/>
  </r>
  <r>
    <x v="7"/>
    <x v="237"/>
    <x v="0"/>
    <n v="3"/>
    <n v="1"/>
    <n v="1"/>
    <n v="3"/>
    <s v="3*"/>
    <s v="-"/>
    <n v="3"/>
    <n v="100"/>
    <n v="0"/>
    <n v="0"/>
    <n v="0"/>
    <n v="0"/>
    <n v="0"/>
    <n v="3"/>
    <n v="11"/>
    <n v="0"/>
    <n v="84"/>
    <n v="1"/>
    <d v="2027-01-01T00:00:00"/>
    <n v="84"/>
    <n v="7.63"/>
    <n v="66"/>
    <n v="0"/>
    <n v="0"/>
    <n v="1"/>
    <n v="0"/>
    <n v="5"/>
    <n v="84"/>
  </r>
  <r>
    <x v="7"/>
    <x v="75"/>
    <x v="0"/>
    <n v="4"/>
    <n v="1"/>
    <n v="1"/>
    <n v="0"/>
    <s v="0*"/>
    <s v="-"/>
    <n v="0"/>
    <s v="-"/>
    <n v="0"/>
    <n v="0"/>
    <n v="0"/>
    <n v="0"/>
    <n v="0"/>
    <n v="4"/>
    <n v="15"/>
    <n v="0"/>
    <n v="148"/>
    <n v="3"/>
    <d v="1936-02-01T00:00:00"/>
    <n v="49.33"/>
    <n v="9.86"/>
    <n v="30"/>
    <n v="0"/>
    <n v="0"/>
    <n v="2"/>
    <n v="0"/>
    <n v="6"/>
    <n v="49.333333333333336"/>
  </r>
  <r>
    <x v="7"/>
    <x v="238"/>
    <x v="0"/>
    <n v="2"/>
    <s v="-"/>
    <s v="-"/>
    <s v="-"/>
    <s v="-"/>
    <s v="-"/>
    <s v="-"/>
    <s v="-"/>
    <s v="-"/>
    <s v="-"/>
    <s v="-"/>
    <s v="-"/>
    <s v="-"/>
    <n v="2"/>
    <n v="7"/>
    <n v="0"/>
    <n v="54"/>
    <n v="2"/>
    <d v="1931-02-01T00:00:00"/>
    <n v="27"/>
    <n v="7.71"/>
    <n v="21"/>
    <n v="0"/>
    <n v="0"/>
    <n v="0"/>
    <n v="0"/>
    <n v="15"/>
    <n v="27"/>
  </r>
  <r>
    <x v="7"/>
    <x v="239"/>
    <x v="0"/>
    <n v="2"/>
    <s v="-"/>
    <s v="-"/>
    <s v="-"/>
    <s v="-"/>
    <s v="-"/>
    <s v="-"/>
    <s v="-"/>
    <s v="-"/>
    <s v="-"/>
    <s v="-"/>
    <s v="-"/>
    <s v="-"/>
    <n v="2"/>
    <n v="5"/>
    <n v="0"/>
    <n v="41"/>
    <n v="0"/>
    <s v="-"/>
    <s v="-"/>
    <n v="8.1999999999999993"/>
    <s v="-"/>
    <n v="0"/>
    <n v="0"/>
    <n v="1"/>
    <n v="0"/>
    <n v="11"/>
    <e v="#DIV/0!"/>
  </r>
  <r>
    <x v="7"/>
    <x v="240"/>
    <x v="0"/>
    <n v="9"/>
    <s v="-"/>
    <s v="-"/>
    <s v="-"/>
    <s v="-"/>
    <s v="-"/>
    <s v="-"/>
    <s v="-"/>
    <s v="-"/>
    <s v="-"/>
    <s v="-"/>
    <s v="-"/>
    <s v="-"/>
    <n v="9"/>
    <n v="30.3"/>
    <n v="2"/>
    <n v="231"/>
    <n v="11"/>
    <d v="2020-03-01T00:00:00"/>
    <n v="21"/>
    <n v="7.57"/>
    <n v="16.600000000000001"/>
    <n v="0"/>
    <n v="0"/>
    <n v="0"/>
    <n v="0"/>
    <n v="14"/>
    <n v="21"/>
  </r>
  <r>
    <x v="7"/>
    <x v="241"/>
    <x v="0"/>
    <n v="4"/>
    <s v="-"/>
    <s v="-"/>
    <s v="-"/>
    <s v="-"/>
    <s v="-"/>
    <s v="-"/>
    <s v="-"/>
    <s v="-"/>
    <s v="-"/>
    <s v="-"/>
    <s v="-"/>
    <s v="-"/>
    <n v="4"/>
    <n v="12"/>
    <n v="0"/>
    <n v="111"/>
    <n v="3"/>
    <d v="2023-01-01T00:00:00"/>
    <n v="37"/>
    <n v="9.25"/>
    <n v="24"/>
    <n v="0"/>
    <n v="0"/>
    <n v="0"/>
    <n v="0"/>
    <n v="11"/>
    <n v="37"/>
  </r>
  <r>
    <x v="8"/>
    <x v="9"/>
    <x v="1"/>
    <n v="3"/>
    <n v="3"/>
    <n v="0"/>
    <n v="26"/>
    <n v="20"/>
    <n v="8.66"/>
    <n v="27"/>
    <n v="96.29"/>
    <n v="0"/>
    <n v="0"/>
    <n v="1"/>
    <n v="3"/>
    <n v="0"/>
    <s v="-"/>
    <s v="-"/>
    <s v="-"/>
    <s v="-"/>
    <s v="-"/>
    <s v="-"/>
    <s v="-"/>
    <s v="-"/>
    <s v="-"/>
    <s v="-"/>
    <s v="-"/>
    <n v="1"/>
    <n v="0"/>
    <n v="3"/>
    <e v="#VALUE!"/>
  </r>
  <r>
    <x v="8"/>
    <x v="11"/>
    <x v="1"/>
    <n v="12"/>
    <n v="1"/>
    <n v="1"/>
    <n v="0"/>
    <s v="0*"/>
    <s v="-"/>
    <n v="2"/>
    <n v="0"/>
    <n v="0"/>
    <n v="0"/>
    <n v="0"/>
    <n v="0"/>
    <n v="0"/>
    <n v="12"/>
    <n v="47"/>
    <n v="0"/>
    <n v="369"/>
    <n v="18"/>
    <d v="2018-03-01T00:00:00"/>
    <n v="20.5"/>
    <n v="7.85"/>
    <n v="15.6"/>
    <n v="0"/>
    <n v="0"/>
    <n v="2"/>
    <n v="0"/>
    <n v="10"/>
    <n v="20.5"/>
  </r>
  <r>
    <x v="8"/>
    <x v="104"/>
    <x v="1"/>
    <n v="12"/>
    <n v="2"/>
    <n v="2"/>
    <n v="2"/>
    <s v="2*"/>
    <s v="-"/>
    <n v="5"/>
    <n v="40"/>
    <n v="0"/>
    <n v="0"/>
    <n v="0"/>
    <n v="0"/>
    <n v="0"/>
    <n v="12"/>
    <n v="45.5"/>
    <n v="3"/>
    <n v="322"/>
    <n v="24"/>
    <d v="1930-05-01T00:00:00"/>
    <n v="13.41"/>
    <n v="7.02"/>
    <n v="11.4"/>
    <n v="0"/>
    <n v="1"/>
    <n v="9"/>
    <n v="0"/>
    <n v="9"/>
    <n v="13.416666666666666"/>
  </r>
  <r>
    <x v="8"/>
    <x v="224"/>
    <x v="1"/>
    <n v="15"/>
    <n v="15"/>
    <n v="3"/>
    <n v="472"/>
    <s v="84*"/>
    <n v="39.33"/>
    <n v="387"/>
    <n v="121.96"/>
    <n v="0"/>
    <n v="3"/>
    <n v="0"/>
    <n v="38"/>
    <n v="12"/>
    <s v="-"/>
    <s v="-"/>
    <s v="-"/>
    <s v="-"/>
    <s v="-"/>
    <s v="-"/>
    <s v="-"/>
    <s v="-"/>
    <s v="-"/>
    <s v="-"/>
    <s v="-"/>
    <n v="7"/>
    <n v="0"/>
    <n v="12"/>
    <e v="#VALUE!"/>
  </r>
  <r>
    <x v="8"/>
    <x v="225"/>
    <x v="1"/>
    <n v="16"/>
    <n v="16"/>
    <n v="1"/>
    <n v="382"/>
    <n v="60"/>
    <n v="25.46"/>
    <n v="323"/>
    <n v="118.26"/>
    <n v="0"/>
    <n v="2"/>
    <n v="2"/>
    <n v="35"/>
    <n v="9"/>
    <s v="-"/>
    <s v="-"/>
    <s v="-"/>
    <s v="-"/>
    <s v="-"/>
    <s v="-"/>
    <s v="-"/>
    <s v="-"/>
    <s v="-"/>
    <s v="-"/>
    <s v="-"/>
    <n v="6"/>
    <n v="0"/>
    <n v="15"/>
    <e v="#VALUE!"/>
  </r>
  <r>
    <x v="8"/>
    <x v="226"/>
    <x v="1"/>
    <n v="16"/>
    <n v="15"/>
    <n v="4"/>
    <n v="290"/>
    <s v="61*"/>
    <n v="26.36"/>
    <n v="250"/>
    <n v="116"/>
    <n v="0"/>
    <n v="1"/>
    <n v="0"/>
    <n v="15"/>
    <n v="16"/>
    <s v="-"/>
    <s v="-"/>
    <s v="-"/>
    <s v="-"/>
    <s v="-"/>
    <s v="-"/>
    <s v="-"/>
    <s v="-"/>
    <s v="-"/>
    <s v="-"/>
    <s v="-"/>
    <n v="10"/>
    <n v="3"/>
    <n v="7"/>
    <e v="#VALUE!"/>
  </r>
  <r>
    <x v="8"/>
    <x v="228"/>
    <x v="1"/>
    <n v="2"/>
    <n v="1"/>
    <n v="0"/>
    <n v="8"/>
    <n v="8"/>
    <n v="8"/>
    <n v="7"/>
    <n v="114.28"/>
    <n v="0"/>
    <n v="0"/>
    <n v="0"/>
    <n v="1"/>
    <n v="0"/>
    <s v="-"/>
    <s v="-"/>
    <s v="-"/>
    <s v="-"/>
    <s v="-"/>
    <s v="-"/>
    <s v="-"/>
    <s v="-"/>
    <s v="-"/>
    <s v="-"/>
    <s v="-"/>
    <n v="0"/>
    <n v="0"/>
    <n v="17"/>
    <e v="#VALUE!"/>
  </r>
  <r>
    <x v="8"/>
    <x v="229"/>
    <x v="1"/>
    <n v="3"/>
    <n v="2"/>
    <n v="1"/>
    <n v="16"/>
    <n v="16"/>
    <n v="16"/>
    <n v="17"/>
    <n v="94.11"/>
    <n v="0"/>
    <n v="0"/>
    <n v="0"/>
    <n v="0"/>
    <n v="1"/>
    <n v="3"/>
    <n v="7"/>
    <n v="0"/>
    <n v="55"/>
    <n v="2"/>
    <d v="2014-02-01T00:00:00"/>
    <n v="27.5"/>
    <n v="7.85"/>
    <n v="21"/>
    <n v="0"/>
    <n v="0"/>
    <n v="2"/>
    <n v="0"/>
    <n v="7"/>
    <n v="27.5"/>
  </r>
  <r>
    <x v="8"/>
    <x v="236"/>
    <x v="1"/>
    <n v="6"/>
    <n v="1"/>
    <n v="0"/>
    <n v="5"/>
    <n v="5"/>
    <n v="5"/>
    <n v="7"/>
    <n v="71.42"/>
    <n v="0"/>
    <n v="0"/>
    <n v="0"/>
    <n v="1"/>
    <n v="0"/>
    <n v="6"/>
    <n v="19.5"/>
    <n v="0"/>
    <n v="163"/>
    <n v="7"/>
    <d v="2022-02-01T00:00:00"/>
    <n v="23.28"/>
    <n v="8.2100000000000009"/>
    <n v="17"/>
    <n v="0"/>
    <n v="0"/>
    <n v="0"/>
    <n v="0"/>
    <n v="15"/>
    <n v="23.285714285714285"/>
  </r>
  <r>
    <x v="8"/>
    <x v="237"/>
    <x v="1"/>
    <n v="1"/>
    <n v="1"/>
    <n v="0"/>
    <n v="25"/>
    <n v="25"/>
    <n v="25"/>
    <n v="15"/>
    <n v="166.66"/>
    <n v="0"/>
    <n v="0"/>
    <n v="0"/>
    <n v="2"/>
    <n v="1"/>
    <n v="1"/>
    <n v="1"/>
    <n v="0"/>
    <n v="16"/>
    <n v="0"/>
    <s v="-"/>
    <s v="-"/>
    <n v="16"/>
    <s v="-"/>
    <n v="0"/>
    <n v="0"/>
    <n v="0"/>
    <n v="0"/>
    <n v="7"/>
    <e v="#DIV/0!"/>
  </r>
  <r>
    <x v="8"/>
    <x v="239"/>
    <x v="1"/>
    <n v="3"/>
    <n v="1"/>
    <n v="0"/>
    <n v="14"/>
    <n v="14"/>
    <n v="14"/>
    <n v="6"/>
    <n v="233.33"/>
    <n v="0"/>
    <n v="0"/>
    <n v="0"/>
    <n v="0"/>
    <n v="2"/>
    <n v="3"/>
    <n v="7"/>
    <n v="0"/>
    <n v="74"/>
    <n v="1"/>
    <d v="1935-01-01T00:00:00"/>
    <n v="74"/>
    <n v="10.57"/>
    <n v="42"/>
    <n v="0"/>
    <n v="0"/>
    <n v="0"/>
    <n v="0"/>
    <n v="14"/>
    <n v="74"/>
  </r>
  <r>
    <x v="8"/>
    <x v="240"/>
    <x v="1"/>
    <n v="3"/>
    <n v="1"/>
    <n v="0"/>
    <n v="7"/>
    <n v="7"/>
    <n v="7"/>
    <n v="7"/>
    <n v="100"/>
    <n v="0"/>
    <n v="0"/>
    <n v="0"/>
    <n v="1"/>
    <n v="0"/>
    <n v="3"/>
    <n v="10"/>
    <n v="0"/>
    <n v="119"/>
    <n v="1"/>
    <d v="2026-01-01T00:00:00"/>
    <n v="119"/>
    <n v="11.9"/>
    <n v="60"/>
    <n v="0"/>
    <n v="0"/>
    <n v="0"/>
    <n v="0"/>
    <n v="15"/>
    <n v="119"/>
  </r>
  <r>
    <x v="8"/>
    <x v="79"/>
    <x v="1"/>
    <n v="15"/>
    <n v="13"/>
    <n v="3"/>
    <n v="324"/>
    <n v="60"/>
    <n v="32.4"/>
    <n v="236"/>
    <n v="137.28"/>
    <n v="0"/>
    <n v="2"/>
    <n v="1"/>
    <n v="31"/>
    <n v="11"/>
    <s v="-"/>
    <s v="-"/>
    <s v="-"/>
    <s v="-"/>
    <s v="-"/>
    <s v="-"/>
    <s v="-"/>
    <s v="-"/>
    <s v="-"/>
    <s v="-"/>
    <s v="-"/>
    <n v="6"/>
    <n v="0"/>
    <n v="15"/>
    <e v="#VALUE!"/>
  </r>
  <r>
    <x v="8"/>
    <x v="242"/>
    <x v="1"/>
    <n v="12"/>
    <n v="11"/>
    <n v="1"/>
    <n v="316"/>
    <s v="103*"/>
    <n v="31.6"/>
    <n v="221"/>
    <n v="142.97999999999999"/>
    <n v="1"/>
    <n v="1"/>
    <n v="0"/>
    <n v="22"/>
    <n v="15"/>
    <n v="12"/>
    <n v="44"/>
    <n v="1"/>
    <n v="316"/>
    <n v="12"/>
    <d v="2018-03-01T00:00:00"/>
    <n v="26.33"/>
    <n v="7.18"/>
    <n v="22"/>
    <n v="0"/>
    <n v="0"/>
    <n v="5"/>
    <n v="0"/>
    <n v="14"/>
    <n v="26.333333333333332"/>
  </r>
  <r>
    <x v="8"/>
    <x v="243"/>
    <x v="1"/>
    <n v="14"/>
    <n v="14"/>
    <n v="0"/>
    <n v="391"/>
    <n v="93"/>
    <n v="27.92"/>
    <n v="267"/>
    <n v="146.44"/>
    <n v="0"/>
    <n v="2"/>
    <n v="1"/>
    <n v="43"/>
    <n v="17"/>
    <n v="1"/>
    <n v="1"/>
    <n v="0"/>
    <n v="12"/>
    <n v="0"/>
    <s v="-"/>
    <s v="-"/>
    <n v="12"/>
    <s v="-"/>
    <n v="0"/>
    <n v="0"/>
    <n v="5"/>
    <n v="0"/>
    <n v="3"/>
    <e v="#DIV/0!"/>
  </r>
  <r>
    <x v="8"/>
    <x v="35"/>
    <x v="1"/>
    <n v="13"/>
    <n v="9"/>
    <n v="4"/>
    <n v="79"/>
    <s v="17*"/>
    <n v="15.8"/>
    <n v="49"/>
    <n v="161.22"/>
    <n v="0"/>
    <n v="0"/>
    <n v="0"/>
    <n v="5"/>
    <n v="5"/>
    <n v="13"/>
    <n v="40"/>
    <n v="0"/>
    <n v="298"/>
    <n v="11"/>
    <d v="2020-10-02T00:00:00"/>
    <n v="27.09"/>
    <n v="7.45"/>
    <n v="21.8"/>
    <n v="0"/>
    <n v="0"/>
    <n v="6"/>
    <n v="0"/>
    <n v="5"/>
    <n v="27.09090909090909"/>
  </r>
  <r>
    <x v="8"/>
    <x v="179"/>
    <x v="1"/>
    <n v="11"/>
    <n v="5"/>
    <n v="4"/>
    <n v="9"/>
    <s v="5*"/>
    <n v="9"/>
    <n v="12"/>
    <n v="75"/>
    <n v="0"/>
    <n v="0"/>
    <n v="1"/>
    <n v="0"/>
    <n v="0"/>
    <n v="10"/>
    <n v="30"/>
    <n v="0"/>
    <n v="185"/>
    <n v="8"/>
    <d v="2016-03-01T00:00:00"/>
    <n v="23.12"/>
    <n v="6.16"/>
    <n v="22.5"/>
    <n v="0"/>
    <n v="0"/>
    <n v="5"/>
    <n v="0"/>
    <n v="17"/>
    <n v="23.125"/>
  </r>
  <r>
    <x v="8"/>
    <x v="244"/>
    <x v="1"/>
    <n v="12"/>
    <n v="3"/>
    <n v="0"/>
    <n v="0"/>
    <n v="0"/>
    <n v="0"/>
    <n v="3"/>
    <n v="0"/>
    <n v="0"/>
    <n v="0"/>
    <n v="3"/>
    <n v="0"/>
    <n v="0"/>
    <n v="12"/>
    <n v="38.1"/>
    <n v="0"/>
    <n v="315"/>
    <n v="11"/>
    <d v="2019-03-01T00:00:00"/>
    <n v="28.63"/>
    <n v="8.25"/>
    <n v="20.8"/>
    <n v="0"/>
    <n v="0"/>
    <n v="4"/>
    <n v="0"/>
    <n v="9"/>
    <n v="28.636363636363637"/>
  </r>
  <r>
    <x v="8"/>
    <x v="146"/>
    <x v="1"/>
    <n v="3"/>
    <n v="1"/>
    <n v="1"/>
    <n v="3"/>
    <s v="3*"/>
    <s v="-"/>
    <n v="2"/>
    <n v="150"/>
    <n v="0"/>
    <n v="0"/>
    <n v="0"/>
    <n v="0"/>
    <n v="0"/>
    <n v="2"/>
    <n v="7"/>
    <n v="0"/>
    <n v="58"/>
    <n v="2"/>
    <d v="2026-01-01T00:00:00"/>
    <n v="29"/>
    <n v="8.2799999999999994"/>
    <n v="21"/>
    <n v="0"/>
    <n v="0"/>
    <n v="1"/>
    <n v="0"/>
    <n v="8"/>
    <n v="29"/>
  </r>
  <r>
    <x v="8"/>
    <x v="113"/>
    <x v="1"/>
    <n v="4"/>
    <n v="1"/>
    <n v="1"/>
    <n v="1"/>
    <s v="1*"/>
    <s v="-"/>
    <n v="1"/>
    <n v="100"/>
    <n v="0"/>
    <n v="0"/>
    <n v="0"/>
    <n v="0"/>
    <n v="0"/>
    <n v="4"/>
    <n v="13"/>
    <n v="1"/>
    <n v="93"/>
    <n v="3"/>
    <d v="2020-07-02T00:00:00"/>
    <n v="31"/>
    <n v="7.15"/>
    <n v="26"/>
    <n v="0"/>
    <n v="0"/>
    <n v="0"/>
    <n v="0"/>
    <n v="16"/>
    <n v="31"/>
  </r>
  <r>
    <x v="9"/>
    <x v="7"/>
    <x v="2"/>
    <n v="10"/>
    <n v="8"/>
    <n v="0"/>
    <n v="108"/>
    <n v="56"/>
    <n v="13.5"/>
    <n v="78"/>
    <n v="138.46"/>
    <n v="0"/>
    <n v="1"/>
    <n v="1"/>
    <n v="8"/>
    <n v="5"/>
    <s v="-"/>
    <s v="-"/>
    <s v="-"/>
    <s v="-"/>
    <s v="-"/>
    <s v="-"/>
    <s v="-"/>
    <s v="-"/>
    <s v="-"/>
    <s v="-"/>
    <s v="-"/>
    <n v="5"/>
    <n v="0"/>
    <n v="15"/>
    <e v="#VALUE!"/>
  </r>
  <r>
    <x v="9"/>
    <x v="7"/>
    <x v="3"/>
    <n v="1"/>
    <n v="1"/>
    <n v="0"/>
    <n v="0"/>
    <n v="0"/>
    <n v="0"/>
    <n v="4"/>
    <n v="0"/>
    <n v="0"/>
    <n v="0"/>
    <n v="1"/>
    <n v="0"/>
    <n v="0"/>
    <s v="-"/>
    <s v="-"/>
    <s v="-"/>
    <s v="-"/>
    <s v="-"/>
    <s v="-"/>
    <s v="-"/>
    <s v="-"/>
    <s v="-"/>
    <s v="-"/>
    <s v="-"/>
    <n v="1"/>
    <n v="0"/>
    <n v="4"/>
    <e v="#VALUE!"/>
  </r>
  <r>
    <x v="9"/>
    <x v="11"/>
    <x v="2"/>
    <n v="6"/>
    <n v="1"/>
    <n v="1"/>
    <n v="2"/>
    <s v="2*"/>
    <s v="-"/>
    <n v="2"/>
    <n v="100"/>
    <n v="0"/>
    <n v="0"/>
    <n v="0"/>
    <n v="0"/>
    <n v="0"/>
    <n v="6"/>
    <n v="20.399999999999999"/>
    <n v="0"/>
    <n v="188"/>
    <n v="6"/>
    <d v="1934-02-01T00:00:00"/>
    <n v="31.33"/>
    <n v="9.09"/>
    <n v="20.6"/>
    <n v="0"/>
    <n v="0"/>
    <n v="2"/>
    <n v="0"/>
    <n v="10"/>
    <n v="31.333333333333332"/>
  </r>
  <r>
    <x v="9"/>
    <x v="11"/>
    <x v="3"/>
    <n v="17"/>
    <n v="1"/>
    <n v="1"/>
    <n v="0"/>
    <s v="0*"/>
    <s v="-"/>
    <n v="0"/>
    <s v="-"/>
    <n v="0"/>
    <n v="0"/>
    <n v="0"/>
    <n v="0"/>
    <n v="0"/>
    <n v="17"/>
    <n v="64.2"/>
    <n v="1"/>
    <n v="431"/>
    <n v="26"/>
    <d v="2020-12-04T00:00:00"/>
    <n v="16.57"/>
    <n v="6.69"/>
    <n v="14.8"/>
    <n v="2"/>
    <n v="0"/>
    <n v="6"/>
    <n v="0"/>
    <n v="7"/>
    <n v="16.576923076923077"/>
  </r>
  <r>
    <x v="9"/>
    <x v="42"/>
    <x v="2"/>
    <n v="1"/>
    <n v="1"/>
    <n v="0"/>
    <n v="12"/>
    <n v="12"/>
    <n v="12"/>
    <n v="10"/>
    <n v="120"/>
    <n v="0"/>
    <n v="0"/>
    <n v="0"/>
    <n v="0"/>
    <n v="1"/>
    <s v="-"/>
    <s v="-"/>
    <s v="-"/>
    <s v="-"/>
    <s v="-"/>
    <s v="-"/>
    <s v="-"/>
    <s v="-"/>
    <s v="-"/>
    <s v="-"/>
    <s v="-"/>
    <n v="0"/>
    <n v="0"/>
    <n v="18"/>
    <e v="#VALUE!"/>
  </r>
  <r>
    <x v="9"/>
    <x v="42"/>
    <x v="3"/>
    <n v="2"/>
    <n v="2"/>
    <n v="0"/>
    <n v="64"/>
    <n v="38"/>
    <n v="32"/>
    <n v="61"/>
    <n v="104.91"/>
    <n v="0"/>
    <n v="0"/>
    <n v="0"/>
    <n v="6"/>
    <n v="1"/>
    <s v="-"/>
    <s v="-"/>
    <s v="-"/>
    <s v="-"/>
    <s v="-"/>
    <s v="-"/>
    <s v="-"/>
    <s v="-"/>
    <s v="-"/>
    <s v="-"/>
    <s v="-"/>
    <n v="1"/>
    <n v="0"/>
    <n v="7"/>
    <e v="#VALUE!"/>
  </r>
  <r>
    <x v="9"/>
    <x v="54"/>
    <x v="3"/>
    <n v="1"/>
    <n v="1"/>
    <n v="1"/>
    <n v="0"/>
    <s v="0*"/>
    <s v="-"/>
    <n v="2"/>
    <n v="0"/>
    <n v="0"/>
    <n v="0"/>
    <n v="0"/>
    <n v="0"/>
    <n v="0"/>
    <n v="1"/>
    <n v="3"/>
    <n v="0"/>
    <n v="27"/>
    <n v="1"/>
    <d v="2027-01-01T00:00:00"/>
    <n v="27"/>
    <n v="9"/>
    <n v="18"/>
    <n v="0"/>
    <n v="0"/>
    <n v="0"/>
    <n v="0"/>
    <n v="10"/>
    <n v="27"/>
  </r>
  <r>
    <x v="9"/>
    <x v="126"/>
    <x v="2"/>
    <n v="13"/>
    <n v="3"/>
    <n v="0"/>
    <n v="29"/>
    <n v="19"/>
    <n v="9.66"/>
    <n v="36"/>
    <n v="80.55"/>
    <n v="0"/>
    <n v="0"/>
    <n v="0"/>
    <n v="3"/>
    <n v="1"/>
    <n v="12"/>
    <n v="31.5"/>
    <n v="0"/>
    <n v="270"/>
    <n v="7"/>
    <d v="2022-02-01T00:00:00"/>
    <n v="38.57"/>
    <n v="8.48"/>
    <n v="27.2"/>
    <n v="0"/>
    <n v="0"/>
    <n v="4"/>
    <n v="0"/>
    <n v="18"/>
    <n v="38.571428571428569"/>
  </r>
  <r>
    <x v="9"/>
    <x v="126"/>
    <x v="3"/>
    <n v="11"/>
    <n v="1"/>
    <n v="0"/>
    <n v="1"/>
    <n v="1"/>
    <n v="1"/>
    <n v="3"/>
    <n v="33.33"/>
    <n v="0"/>
    <n v="0"/>
    <n v="0"/>
    <n v="0"/>
    <n v="0"/>
    <n v="11"/>
    <n v="44"/>
    <n v="1"/>
    <n v="312"/>
    <n v="16"/>
    <d v="2020-03-01T00:00:00"/>
    <n v="19.5"/>
    <n v="7.09"/>
    <n v="16.5"/>
    <n v="0"/>
    <n v="0"/>
    <n v="4"/>
    <n v="0"/>
    <n v="18"/>
    <n v="19.5"/>
  </r>
  <r>
    <x v="9"/>
    <x v="127"/>
    <x v="2"/>
    <n v="16"/>
    <n v="16"/>
    <n v="2"/>
    <n v="602"/>
    <s v="100*"/>
    <n v="43"/>
    <n v="402"/>
    <n v="149.75"/>
    <n v="1"/>
    <n v="3"/>
    <n v="1"/>
    <n v="53"/>
    <n v="34"/>
    <s v="-"/>
    <s v="-"/>
    <s v="-"/>
    <s v="-"/>
    <s v="-"/>
    <s v="-"/>
    <s v="-"/>
    <s v="-"/>
    <s v="-"/>
    <s v="-"/>
    <s v="-"/>
    <n v="2"/>
    <n v="0"/>
    <n v="18"/>
    <e v="#VALUE!"/>
  </r>
  <r>
    <x v="9"/>
    <x v="127"/>
    <x v="3"/>
    <n v="17"/>
    <n v="17"/>
    <n v="5"/>
    <n v="282"/>
    <n v="57"/>
    <n v="23.5"/>
    <n v="303"/>
    <n v="93.06"/>
    <n v="0"/>
    <n v="1"/>
    <n v="2"/>
    <n v="20"/>
    <n v="7"/>
    <s v="-"/>
    <s v="-"/>
    <s v="-"/>
    <s v="-"/>
    <s v="-"/>
    <s v="-"/>
    <s v="-"/>
    <s v="-"/>
    <s v="-"/>
    <s v="-"/>
    <s v="-"/>
    <n v="6"/>
    <n v="0"/>
    <n v="7"/>
    <e v="#VALUE!"/>
  </r>
  <r>
    <x v="9"/>
    <x v="160"/>
    <x v="2"/>
    <n v="15"/>
    <n v="15"/>
    <n v="1"/>
    <n v="555"/>
    <s v="117*"/>
    <n v="39.64"/>
    <n v="359"/>
    <n v="154.59"/>
    <n v="2"/>
    <n v="2"/>
    <n v="1"/>
    <n v="44"/>
    <n v="35"/>
    <n v="11"/>
    <n v="28"/>
    <n v="0"/>
    <n v="251"/>
    <n v="6"/>
    <d v="2029-02-01T00:00:00"/>
    <n v="41.83"/>
    <n v="8.9600000000000009"/>
    <n v="28"/>
    <n v="0"/>
    <n v="0"/>
    <n v="3"/>
    <n v="0"/>
    <n v="15"/>
    <n v="41.833333333333336"/>
  </r>
  <r>
    <x v="9"/>
    <x v="160"/>
    <x v="3"/>
    <n v="17"/>
    <n v="17"/>
    <n v="0"/>
    <n v="398"/>
    <n v="96"/>
    <n v="23.41"/>
    <n v="312"/>
    <n v="127.56"/>
    <n v="0"/>
    <n v="3"/>
    <n v="3"/>
    <n v="42"/>
    <n v="20"/>
    <s v="-"/>
    <s v="-"/>
    <s v="-"/>
    <s v="-"/>
    <s v="-"/>
    <s v="-"/>
    <s v="-"/>
    <s v="-"/>
    <s v="-"/>
    <s v="-"/>
    <s v="-"/>
    <n v="6"/>
    <n v="0"/>
    <n v="15"/>
    <e v="#VALUE!"/>
  </r>
  <r>
    <x v="9"/>
    <x v="163"/>
    <x v="2"/>
    <n v="1"/>
    <n v="1"/>
    <n v="1"/>
    <n v="24"/>
    <s v="24*"/>
    <s v="-"/>
    <n v="22"/>
    <n v="109.09"/>
    <n v="0"/>
    <n v="0"/>
    <n v="0"/>
    <n v="1"/>
    <n v="2"/>
    <s v="-"/>
    <s v="-"/>
    <s v="-"/>
    <s v="-"/>
    <s v="-"/>
    <s v="-"/>
    <s v="-"/>
    <s v="-"/>
    <s v="-"/>
    <s v="-"/>
    <s v="-"/>
    <n v="0"/>
    <n v="0"/>
    <n v="14"/>
    <e v="#VALUE!"/>
  </r>
  <r>
    <x v="9"/>
    <x v="163"/>
    <x v="3"/>
    <n v="14"/>
    <n v="12"/>
    <n v="3"/>
    <n v="162"/>
    <n v="58"/>
    <n v="18"/>
    <n v="169"/>
    <n v="95.85"/>
    <n v="0"/>
    <n v="1"/>
    <n v="1"/>
    <n v="19"/>
    <n v="3"/>
    <s v="-"/>
    <s v="-"/>
    <s v="-"/>
    <s v="-"/>
    <s v="-"/>
    <s v="-"/>
    <s v="-"/>
    <s v="-"/>
    <s v="-"/>
    <s v="-"/>
    <s v="-"/>
    <n v="4"/>
    <n v="0"/>
    <n v="11"/>
    <e v="#VALUE!"/>
  </r>
  <r>
    <x v="9"/>
    <x v="140"/>
    <x v="2"/>
    <n v="6"/>
    <n v="1"/>
    <n v="1"/>
    <n v="0"/>
    <s v="0*"/>
    <s v="-"/>
    <n v="0"/>
    <s v="-"/>
    <n v="0"/>
    <n v="0"/>
    <n v="0"/>
    <n v="0"/>
    <n v="0"/>
    <n v="5"/>
    <n v="9.3000000000000007"/>
    <n v="0"/>
    <n v="89"/>
    <n v="4"/>
    <d v="2013-02-01T00:00:00"/>
    <n v="22.25"/>
    <n v="9.36"/>
    <n v="14.2"/>
    <n v="0"/>
    <n v="0"/>
    <n v="3"/>
    <n v="0"/>
    <n v="7"/>
    <n v="22.25"/>
  </r>
  <r>
    <x v="9"/>
    <x v="140"/>
    <x v="3"/>
    <n v="1"/>
    <s v="-"/>
    <s v="-"/>
    <s v="-"/>
    <s v="-"/>
    <s v="-"/>
    <s v="-"/>
    <s v="-"/>
    <s v="-"/>
    <s v="-"/>
    <s v="-"/>
    <s v="-"/>
    <s v="-"/>
    <n v="1"/>
    <n v="2.5"/>
    <n v="0"/>
    <n v="33"/>
    <n v="1"/>
    <d v="1933-01-01T00:00:00"/>
    <n v="33"/>
    <n v="11.64"/>
    <n v="17"/>
    <n v="0"/>
    <n v="0"/>
    <n v="0"/>
    <n v="0"/>
    <n v="8"/>
    <n v="33"/>
  </r>
  <r>
    <x v="9"/>
    <x v="206"/>
    <x v="2"/>
    <n v="15"/>
    <n v="15"/>
    <n v="3"/>
    <n v="445"/>
    <s v="75*"/>
    <n v="37.08"/>
    <n v="336"/>
    <n v="132.44"/>
    <n v="0"/>
    <n v="4"/>
    <n v="0"/>
    <n v="46"/>
    <n v="12"/>
    <s v="-"/>
    <s v="-"/>
    <s v="-"/>
    <s v="-"/>
    <s v="-"/>
    <s v="-"/>
    <s v="-"/>
    <s v="-"/>
    <s v="-"/>
    <s v="-"/>
    <s v="-"/>
    <n v="9"/>
    <n v="0"/>
    <n v="4"/>
    <e v="#VALUE!"/>
  </r>
  <r>
    <x v="9"/>
    <x v="206"/>
    <x v="3"/>
    <n v="17"/>
    <n v="17"/>
    <n v="1"/>
    <n v="383"/>
    <n v="59"/>
    <n v="23.93"/>
    <n v="314"/>
    <n v="121.97"/>
    <n v="0"/>
    <n v="3"/>
    <n v="1"/>
    <n v="45"/>
    <n v="9"/>
    <n v="1"/>
    <n v="1"/>
    <n v="0"/>
    <n v="6"/>
    <n v="0"/>
    <s v="-"/>
    <s v="-"/>
    <n v="6"/>
    <s v="-"/>
    <n v="0"/>
    <n v="0"/>
    <n v="7"/>
    <n v="0"/>
    <n v="10"/>
    <e v="#DIV/0!"/>
  </r>
  <r>
    <x v="9"/>
    <x v="208"/>
    <x v="2"/>
    <n v="16"/>
    <n v="10"/>
    <n v="5"/>
    <n v="89"/>
    <s v="27*"/>
    <n v="17.8"/>
    <n v="74"/>
    <n v="120.27"/>
    <n v="0"/>
    <n v="0"/>
    <n v="0"/>
    <n v="3"/>
    <n v="4"/>
    <n v="14"/>
    <n v="41"/>
    <n v="0"/>
    <n v="303"/>
    <n v="11"/>
    <d v="2018-03-01T00:00:00"/>
    <n v="27.54"/>
    <n v="7.39"/>
    <n v="22.3"/>
    <n v="0"/>
    <n v="0"/>
    <n v="11"/>
    <n v="0"/>
    <n v="14"/>
    <n v="27.545454545454547"/>
  </r>
  <r>
    <x v="9"/>
    <x v="208"/>
    <x v="3"/>
    <n v="16"/>
    <n v="9"/>
    <n v="6"/>
    <n v="106"/>
    <s v="31*"/>
    <n v="35.33"/>
    <n v="88"/>
    <n v="120.45"/>
    <n v="0"/>
    <n v="0"/>
    <n v="0"/>
    <n v="7"/>
    <n v="4"/>
    <n v="16"/>
    <n v="54"/>
    <n v="1"/>
    <n v="343"/>
    <n v="15"/>
    <d v="2020-09-03T00:00:00"/>
    <n v="22.86"/>
    <n v="6.35"/>
    <n v="21.6"/>
    <n v="0"/>
    <n v="0"/>
    <n v="9"/>
    <n v="0"/>
    <n v="15"/>
    <n v="22.866666666666667"/>
  </r>
  <r>
    <x v="9"/>
    <x v="210"/>
    <x v="2"/>
    <n v="16"/>
    <n v="10"/>
    <n v="6"/>
    <n v="141"/>
    <n v="68"/>
    <n v="35.25"/>
    <n v="91"/>
    <n v="154.94"/>
    <n v="0"/>
    <n v="1"/>
    <n v="1"/>
    <n v="8"/>
    <n v="10"/>
    <n v="16"/>
    <n v="53.3"/>
    <n v="1"/>
    <n v="533"/>
    <n v="14"/>
    <d v="2016-02-01T00:00:00"/>
    <n v="38.07"/>
    <n v="9.9600000000000009"/>
    <n v="22.9"/>
    <n v="0"/>
    <n v="0"/>
    <n v="9"/>
    <n v="0"/>
    <n v="3"/>
    <n v="38.071428571428569"/>
  </r>
  <r>
    <x v="9"/>
    <x v="210"/>
    <x v="3"/>
    <n v="12"/>
    <n v="9"/>
    <n v="4"/>
    <n v="80"/>
    <n v="27"/>
    <n v="16"/>
    <n v="66"/>
    <n v="121.21"/>
    <n v="0"/>
    <n v="0"/>
    <n v="0"/>
    <n v="6"/>
    <n v="3"/>
    <n v="12"/>
    <n v="41.1"/>
    <n v="0"/>
    <n v="330"/>
    <n v="11"/>
    <d v="1933-03-01T00:00:00"/>
    <n v="30"/>
    <n v="8.01"/>
    <n v="22.4"/>
    <n v="0"/>
    <n v="0"/>
    <n v="5"/>
    <n v="0"/>
    <n v="7"/>
    <n v="30"/>
  </r>
  <r>
    <x v="9"/>
    <x v="226"/>
    <x v="2"/>
    <n v="16"/>
    <n v="15"/>
    <n v="9"/>
    <n v="455"/>
    <s v="79*"/>
    <n v="75.83"/>
    <n v="302"/>
    <n v="150.66"/>
    <n v="0"/>
    <n v="3"/>
    <n v="0"/>
    <n v="24"/>
    <n v="30"/>
    <s v="-"/>
    <s v="-"/>
    <s v="-"/>
    <s v="-"/>
    <s v="-"/>
    <s v="-"/>
    <s v="-"/>
    <s v="-"/>
    <s v="-"/>
    <s v="-"/>
    <s v="-"/>
    <n v="11"/>
    <n v="3"/>
    <n v="18"/>
    <e v="#VALUE!"/>
  </r>
  <r>
    <x v="9"/>
    <x v="226"/>
    <x v="3"/>
    <n v="15"/>
    <n v="12"/>
    <n v="7"/>
    <n v="416"/>
    <s v="84*"/>
    <n v="83.2"/>
    <n v="309"/>
    <n v="134.62"/>
    <n v="0"/>
    <n v="3"/>
    <n v="0"/>
    <n v="22"/>
    <n v="23"/>
    <s v="-"/>
    <s v="-"/>
    <s v="-"/>
    <s v="-"/>
    <s v="-"/>
    <s v="-"/>
    <s v="-"/>
    <s v="-"/>
    <s v="-"/>
    <s v="-"/>
    <s v="-"/>
    <n v="11"/>
    <n v="5"/>
    <n v="7"/>
    <e v="#VALUE!"/>
  </r>
  <r>
    <x v="9"/>
    <x v="228"/>
    <x v="2"/>
    <n v="6"/>
    <n v="6"/>
    <n v="1"/>
    <n v="162"/>
    <s v="67*"/>
    <n v="32.4"/>
    <n v="129"/>
    <n v="125.58"/>
    <n v="0"/>
    <n v="1"/>
    <n v="0"/>
    <n v="17"/>
    <n v="6"/>
    <s v="-"/>
    <s v="-"/>
    <s v="-"/>
    <s v="-"/>
    <s v="-"/>
    <s v="-"/>
    <s v="-"/>
    <s v="-"/>
    <s v="-"/>
    <s v="-"/>
    <s v="-"/>
    <n v="1"/>
    <n v="0"/>
    <n v="13"/>
    <e v="#VALUE!"/>
  </r>
  <r>
    <x v="9"/>
    <x v="228"/>
    <x v="3"/>
    <n v="12"/>
    <n v="12"/>
    <n v="1"/>
    <n v="396"/>
    <n v="96"/>
    <n v="36"/>
    <n v="321"/>
    <n v="123.36"/>
    <n v="0"/>
    <n v="3"/>
    <n v="0"/>
    <n v="36"/>
    <n v="15"/>
    <s v="-"/>
    <s v="-"/>
    <s v="-"/>
    <s v="-"/>
    <s v="-"/>
    <s v="-"/>
    <s v="-"/>
    <s v="-"/>
    <s v="-"/>
    <s v="-"/>
    <s v="-"/>
    <n v="12"/>
    <n v="0"/>
    <n v="16"/>
    <e v="#VALUE!"/>
  </r>
  <r>
    <x v="9"/>
    <x v="239"/>
    <x v="2"/>
    <n v="12"/>
    <n v="4"/>
    <n v="1"/>
    <n v="50"/>
    <n v="39"/>
    <n v="16.66"/>
    <n v="29"/>
    <n v="172.41"/>
    <n v="0"/>
    <n v="0"/>
    <n v="1"/>
    <n v="1"/>
    <n v="4"/>
    <n v="12"/>
    <n v="38.1"/>
    <n v="1"/>
    <n v="278"/>
    <n v="10"/>
    <d v="2015-03-01T00:00:00"/>
    <n v="27.8"/>
    <n v="7.28"/>
    <n v="22.9"/>
    <n v="0"/>
    <n v="0"/>
    <n v="1"/>
    <n v="0"/>
    <n v="15"/>
    <n v="27.8"/>
  </r>
  <r>
    <x v="9"/>
    <x v="239"/>
    <x v="3"/>
    <n v="17"/>
    <n v="2"/>
    <n v="0"/>
    <n v="7"/>
    <n v="7"/>
    <n v="3.5"/>
    <n v="9"/>
    <n v="77.77"/>
    <n v="0"/>
    <n v="0"/>
    <n v="1"/>
    <n v="1"/>
    <n v="0"/>
    <n v="17"/>
    <n v="64.3"/>
    <n v="2"/>
    <n v="482"/>
    <n v="22"/>
    <d v="2020-03-01T00:00:00"/>
    <n v="21.9"/>
    <n v="7.47"/>
    <n v="17.5"/>
    <n v="0"/>
    <n v="0"/>
    <n v="2"/>
    <n v="0"/>
    <n v="9"/>
    <n v="21.90909090909091"/>
  </r>
  <r>
    <x v="9"/>
    <x v="244"/>
    <x v="2"/>
    <n v="13"/>
    <n v="1"/>
    <n v="1"/>
    <n v="15"/>
    <s v="15*"/>
    <s v="-"/>
    <n v="5"/>
    <n v="300"/>
    <n v="0"/>
    <n v="0"/>
    <n v="0"/>
    <n v="3"/>
    <n v="0"/>
    <n v="13"/>
    <n v="46.4"/>
    <n v="1"/>
    <n v="431"/>
    <n v="16"/>
    <d v="2018-02-01T00:00:00"/>
    <n v="26.93"/>
    <n v="9.23"/>
    <n v="17.5"/>
    <n v="0"/>
    <n v="0"/>
    <n v="4"/>
    <n v="0"/>
    <n v="14"/>
    <n v="26.9375"/>
  </r>
  <r>
    <x v="9"/>
    <x v="244"/>
    <x v="3"/>
    <n v="10"/>
    <n v="3"/>
    <n v="1"/>
    <n v="14"/>
    <s v="12*"/>
    <n v="7"/>
    <n v="7"/>
    <n v="200"/>
    <n v="0"/>
    <n v="0"/>
    <n v="1"/>
    <n v="1"/>
    <n v="1"/>
    <n v="9"/>
    <n v="30"/>
    <n v="0"/>
    <n v="281"/>
    <n v="8"/>
    <d v="2018-02-01T00:00:00"/>
    <n v="35.119999999999997"/>
    <n v="9.36"/>
    <n v="22.5"/>
    <n v="0"/>
    <n v="0"/>
    <n v="5"/>
    <n v="0"/>
    <n v="11"/>
    <n v="35.125"/>
  </r>
  <r>
    <x v="9"/>
    <x v="245"/>
    <x v="2"/>
    <n v="1"/>
    <n v="1"/>
    <n v="0"/>
    <n v="8"/>
    <n v="8"/>
    <n v="8"/>
    <n v="9"/>
    <n v="88.88"/>
    <n v="0"/>
    <n v="0"/>
    <n v="0"/>
    <n v="0"/>
    <n v="1"/>
    <s v="-"/>
    <s v="-"/>
    <s v="-"/>
    <s v="-"/>
    <s v="-"/>
    <s v="-"/>
    <s v="-"/>
    <s v="-"/>
    <s v="-"/>
    <s v="-"/>
    <s v="-"/>
    <n v="0"/>
    <n v="0"/>
    <n v="13"/>
    <e v="#VALUE!"/>
  </r>
  <r>
    <x v="9"/>
    <x v="245"/>
    <x v="3"/>
    <n v="1"/>
    <n v="1"/>
    <n v="0"/>
    <n v="5"/>
    <n v="5"/>
    <n v="5"/>
    <n v="8"/>
    <n v="62.5"/>
    <n v="0"/>
    <n v="0"/>
    <n v="0"/>
    <n v="0"/>
    <n v="0"/>
    <s v="-"/>
    <s v="-"/>
    <s v="-"/>
    <s v="-"/>
    <s v="-"/>
    <s v="-"/>
    <s v="-"/>
    <s v="-"/>
    <s v="-"/>
    <s v="-"/>
    <s v="-"/>
    <n v="0"/>
    <n v="0"/>
    <n v="3"/>
    <e v="#VALUE!"/>
  </r>
  <r>
    <x v="9"/>
    <x v="246"/>
    <x v="2"/>
    <n v="1"/>
    <n v="1"/>
    <n v="0"/>
    <n v="1"/>
    <n v="1"/>
    <n v="1"/>
    <n v="3"/>
    <n v="33.33"/>
    <n v="0"/>
    <n v="0"/>
    <n v="0"/>
    <n v="0"/>
    <n v="0"/>
    <n v="1"/>
    <n v="4"/>
    <n v="0"/>
    <n v="49"/>
    <n v="0"/>
    <s v="-"/>
    <s v="-"/>
    <n v="12.25"/>
    <s v="-"/>
    <n v="0"/>
    <n v="0"/>
    <n v="1"/>
    <n v="0"/>
    <n v="4"/>
    <e v="#DIV/0!"/>
  </r>
  <r>
    <x v="9"/>
    <x v="247"/>
    <x v="2"/>
    <n v="2"/>
    <s v="-"/>
    <s v="-"/>
    <s v="-"/>
    <s v="-"/>
    <s v="-"/>
    <s v="-"/>
    <s v="-"/>
    <s v="-"/>
    <s v="-"/>
    <s v="-"/>
    <s v="-"/>
    <s v="-"/>
    <n v="2"/>
    <n v="6"/>
    <n v="0"/>
    <n v="75"/>
    <n v="3"/>
    <d v="1943-02-01T00:00:00"/>
    <n v="25"/>
    <n v="12.5"/>
    <n v="12"/>
    <n v="0"/>
    <n v="0"/>
    <n v="0"/>
    <n v="0"/>
    <n v="6"/>
    <n v="25"/>
  </r>
  <r>
    <x v="9"/>
    <x v="248"/>
    <x v="2"/>
    <n v="7"/>
    <s v="-"/>
    <s v="-"/>
    <s v="-"/>
    <s v="-"/>
    <s v="-"/>
    <s v="-"/>
    <s v="-"/>
    <s v="-"/>
    <s v="-"/>
    <s v="-"/>
    <s v="-"/>
    <s v="-"/>
    <n v="7"/>
    <n v="26"/>
    <n v="2"/>
    <n v="156"/>
    <n v="11"/>
    <d v="2020-10-04T00:00:00"/>
    <n v="14.18"/>
    <n v="6"/>
    <n v="14.1"/>
    <n v="1"/>
    <n v="0"/>
    <n v="1"/>
    <n v="0"/>
    <n v="10"/>
    <n v="14.181818181818182"/>
  </r>
  <r>
    <x v="9"/>
    <x v="249"/>
    <x v="2"/>
    <n v="3"/>
    <s v="-"/>
    <s v="-"/>
    <s v="-"/>
    <s v="-"/>
    <s v="-"/>
    <s v="-"/>
    <s v="-"/>
    <s v="-"/>
    <s v="-"/>
    <s v="-"/>
    <s v="-"/>
    <s v="-"/>
    <n v="3"/>
    <n v="10"/>
    <n v="0"/>
    <n v="95"/>
    <n v="2"/>
    <d v="2024-01-01T00:00:00"/>
    <n v="47.5"/>
    <n v="9.5"/>
    <n v="30"/>
    <n v="0"/>
    <n v="0"/>
    <n v="2"/>
    <n v="0"/>
    <n v="3"/>
    <n v="47.5"/>
  </r>
  <r>
    <x v="9"/>
    <x v="250"/>
    <x v="3"/>
    <n v="4"/>
    <n v="2"/>
    <n v="1"/>
    <n v="32"/>
    <n v="22"/>
    <n v="32"/>
    <n v="23"/>
    <n v="139.13"/>
    <n v="0"/>
    <n v="0"/>
    <n v="0"/>
    <n v="0"/>
    <n v="3"/>
    <n v="4"/>
    <n v="14"/>
    <n v="0"/>
    <n v="94"/>
    <n v="4"/>
    <d v="2013-02-01T00:00:00"/>
    <n v="23.5"/>
    <n v="6.71"/>
    <n v="21"/>
    <n v="0"/>
    <n v="0"/>
    <n v="1"/>
    <n v="0"/>
    <n v="14"/>
    <n v="23.5"/>
  </r>
  <r>
    <x v="9"/>
    <x v="251"/>
    <x v="3"/>
    <n v="2"/>
    <s v="-"/>
    <s v="-"/>
    <s v="-"/>
    <s v="-"/>
    <s v="-"/>
    <s v="-"/>
    <s v="-"/>
    <s v="-"/>
    <s v="-"/>
    <s v="-"/>
    <s v="-"/>
    <s v="-"/>
    <n v="2"/>
    <n v="8"/>
    <n v="0"/>
    <n v="71"/>
    <n v="2"/>
    <d v="1937-02-01T00:00:00"/>
    <n v="35.5"/>
    <n v="8.8699999999999992"/>
    <n v="24"/>
    <n v="0"/>
    <n v="0"/>
    <n v="0"/>
    <n v="0"/>
    <n v="16"/>
    <n v="35.5"/>
  </r>
  <r>
    <x v="10"/>
    <x v="5"/>
    <x v="2"/>
    <n v="15"/>
    <n v="15"/>
    <n v="1"/>
    <n v="441"/>
    <s v="92*"/>
    <n v="31.5"/>
    <n v="320"/>
    <n v="137.81"/>
    <n v="0"/>
    <n v="3"/>
    <n v="1"/>
    <n v="30"/>
    <n v="19"/>
    <s v="-"/>
    <s v="-"/>
    <s v="-"/>
    <s v="-"/>
    <s v="-"/>
    <s v="-"/>
    <s v="-"/>
    <s v="-"/>
    <s v="-"/>
    <s v="-"/>
    <s v="-"/>
    <n v="5"/>
    <n v="0"/>
    <n v="14"/>
    <e v="#VALUE!"/>
  </r>
  <r>
    <x v="10"/>
    <x v="5"/>
    <x v="3"/>
    <n v="12"/>
    <n v="12"/>
    <n v="2"/>
    <n v="342"/>
    <s v="102*"/>
    <n v="34.200000000000003"/>
    <n v="230"/>
    <n v="148.69"/>
    <n v="1"/>
    <n v="0"/>
    <n v="1"/>
    <n v="28"/>
    <n v="13"/>
    <s v="-"/>
    <s v="-"/>
    <s v="-"/>
    <s v="-"/>
    <s v="-"/>
    <s v="-"/>
    <s v="-"/>
    <s v="-"/>
    <s v="-"/>
    <s v="-"/>
    <s v="-"/>
    <n v="4"/>
    <n v="1"/>
    <n v="12"/>
    <e v="#VALUE!"/>
  </r>
  <r>
    <x v="10"/>
    <x v="60"/>
    <x v="2"/>
    <n v="3"/>
    <n v="1"/>
    <n v="1"/>
    <n v="3"/>
    <s v="3*"/>
    <s v="-"/>
    <n v="4"/>
    <n v="75"/>
    <n v="0"/>
    <n v="0"/>
    <n v="0"/>
    <n v="0"/>
    <n v="0"/>
    <n v="3"/>
    <n v="4"/>
    <n v="0"/>
    <n v="42"/>
    <n v="1"/>
    <d v="2020-01-01T00:00:00"/>
    <n v="42"/>
    <n v="10.5"/>
    <n v="24"/>
    <n v="0"/>
    <n v="0"/>
    <n v="1"/>
    <n v="0"/>
    <n v="9"/>
    <n v="42"/>
  </r>
  <r>
    <x v="10"/>
    <x v="104"/>
    <x v="2"/>
    <n v="15"/>
    <n v="7"/>
    <n v="3"/>
    <n v="49"/>
    <n v="26"/>
    <n v="12.25"/>
    <n v="38"/>
    <n v="128.94"/>
    <n v="0"/>
    <n v="0"/>
    <n v="1"/>
    <n v="6"/>
    <n v="1"/>
    <n v="15"/>
    <n v="50.2"/>
    <n v="0"/>
    <n v="486"/>
    <n v="11"/>
    <d v="1946-03-01T00:00:00"/>
    <n v="44.18"/>
    <n v="9.65"/>
    <n v="27.4"/>
    <n v="0"/>
    <n v="0"/>
    <n v="6"/>
    <n v="0"/>
    <n v="15"/>
    <n v="44.18181818181818"/>
  </r>
  <r>
    <x v="10"/>
    <x v="104"/>
    <x v="3"/>
    <n v="11"/>
    <n v="4"/>
    <n v="3"/>
    <n v="1"/>
    <n v="1"/>
    <n v="1"/>
    <n v="3"/>
    <n v="33.33"/>
    <n v="0"/>
    <n v="0"/>
    <n v="0"/>
    <n v="0"/>
    <n v="0"/>
    <n v="11"/>
    <n v="37.200000000000003"/>
    <n v="0"/>
    <n v="398"/>
    <n v="10"/>
    <d v="2026-02-01T00:00:00"/>
    <n v="39.799999999999997"/>
    <n v="10.66"/>
    <n v="22.4"/>
    <n v="0"/>
    <n v="0"/>
    <n v="3"/>
    <n v="0"/>
    <n v="3"/>
    <n v="39.799999999999997"/>
  </r>
  <r>
    <x v="10"/>
    <x v="129"/>
    <x v="2"/>
    <n v="13"/>
    <n v="13"/>
    <n v="3"/>
    <n v="548"/>
    <s v="95*"/>
    <n v="54.8"/>
    <n v="353"/>
    <n v="155.24"/>
    <n v="0"/>
    <n v="5"/>
    <n v="0"/>
    <n v="52"/>
    <n v="21"/>
    <s v="-"/>
    <s v="-"/>
    <s v="-"/>
    <s v="-"/>
    <s v="-"/>
    <s v="-"/>
    <s v="-"/>
    <s v="-"/>
    <s v="-"/>
    <s v="-"/>
    <s v="-"/>
    <n v="9"/>
    <n v="1"/>
    <n v="5"/>
    <e v="#VALUE!"/>
  </r>
  <r>
    <x v="10"/>
    <x v="129"/>
    <x v="3"/>
    <n v="8"/>
    <n v="8"/>
    <n v="0"/>
    <n v="311"/>
    <n v="89"/>
    <n v="38.869999999999997"/>
    <n v="205"/>
    <n v="151.69999999999999"/>
    <n v="0"/>
    <n v="3"/>
    <n v="0"/>
    <n v="38"/>
    <n v="14"/>
    <s v="-"/>
    <s v="-"/>
    <s v="-"/>
    <s v="-"/>
    <s v="-"/>
    <s v="-"/>
    <s v="-"/>
    <s v="-"/>
    <s v="-"/>
    <s v="-"/>
    <s v="-"/>
    <n v="8"/>
    <n v="0"/>
    <n v="8"/>
    <e v="#VALUE!"/>
  </r>
  <r>
    <x v="10"/>
    <x v="136"/>
    <x v="2"/>
    <n v="11"/>
    <n v="4"/>
    <n v="1"/>
    <n v="50"/>
    <n v="24"/>
    <n v="16.66"/>
    <n v="45"/>
    <n v="111.11"/>
    <n v="0"/>
    <n v="0"/>
    <n v="1"/>
    <n v="5"/>
    <n v="0"/>
    <n v="10"/>
    <n v="31"/>
    <n v="0"/>
    <n v="236"/>
    <n v="11"/>
    <d v="2016-04-01T00:00:00"/>
    <n v="21.45"/>
    <n v="7.61"/>
    <n v="16.899999999999999"/>
    <n v="1"/>
    <n v="0"/>
    <n v="3"/>
    <n v="0"/>
    <n v="11"/>
    <n v="21.454545454545453"/>
  </r>
  <r>
    <x v="10"/>
    <x v="136"/>
    <x v="3"/>
    <n v="14"/>
    <n v="7"/>
    <n v="3"/>
    <n v="63"/>
    <s v="19*"/>
    <n v="15.75"/>
    <n v="46"/>
    <n v="136.94999999999999"/>
    <n v="0"/>
    <n v="0"/>
    <n v="2"/>
    <n v="8"/>
    <n v="1"/>
    <n v="14"/>
    <n v="48"/>
    <n v="1"/>
    <n v="347"/>
    <n v="20"/>
    <d v="2020-12-03T00:00:00"/>
    <n v="17.350000000000001"/>
    <n v="7.22"/>
    <n v="14.4"/>
    <n v="0"/>
    <n v="0"/>
    <n v="5"/>
    <n v="0"/>
    <n v="6"/>
    <n v="17.350000000000001"/>
  </r>
  <r>
    <x v="10"/>
    <x v="159"/>
    <x v="2"/>
    <n v="7"/>
    <n v="5"/>
    <n v="0"/>
    <n v="44"/>
    <n v="22"/>
    <n v="8.8000000000000007"/>
    <n v="39"/>
    <n v="112.82"/>
    <n v="0"/>
    <n v="0"/>
    <n v="1"/>
    <n v="2"/>
    <n v="2"/>
    <n v="1"/>
    <n v="2"/>
    <n v="0"/>
    <n v="33"/>
    <n v="0"/>
    <s v="-"/>
    <s v="-"/>
    <n v="16.5"/>
    <s v="-"/>
    <n v="0"/>
    <n v="0"/>
    <n v="1"/>
    <n v="0"/>
    <n v="15"/>
    <e v="#DIV/0!"/>
  </r>
  <r>
    <x v="10"/>
    <x v="159"/>
    <x v="3"/>
    <n v="8"/>
    <n v="5"/>
    <n v="2"/>
    <n v="70"/>
    <s v="33*"/>
    <n v="23.33"/>
    <n v="40"/>
    <n v="175"/>
    <n v="0"/>
    <n v="0"/>
    <n v="1"/>
    <n v="5"/>
    <n v="4"/>
    <n v="5"/>
    <n v="7"/>
    <n v="0"/>
    <n v="44"/>
    <n v="1"/>
    <d v="2019-01-01T00:00:00"/>
    <n v="44"/>
    <n v="6.28"/>
    <n v="42"/>
    <n v="0"/>
    <n v="0"/>
    <n v="0"/>
    <n v="0"/>
    <n v="12"/>
    <n v="44"/>
  </r>
  <r>
    <x v="10"/>
    <x v="66"/>
    <x v="3"/>
    <n v="5"/>
    <n v="1"/>
    <n v="1"/>
    <n v="3"/>
    <s v="3*"/>
    <s v="-"/>
    <n v="7"/>
    <n v="42.85"/>
    <n v="0"/>
    <n v="0"/>
    <n v="0"/>
    <n v="0"/>
    <n v="0"/>
    <n v="5"/>
    <n v="12"/>
    <n v="1"/>
    <n v="116"/>
    <n v="4"/>
    <d v="2020-02-01T00:00:00"/>
    <n v="29"/>
    <n v="9.66"/>
    <n v="18"/>
    <n v="0"/>
    <n v="0"/>
    <n v="1"/>
    <n v="0"/>
    <n v="7"/>
    <n v="29"/>
  </r>
  <r>
    <x v="10"/>
    <x v="209"/>
    <x v="2"/>
    <n v="8"/>
    <n v="2"/>
    <n v="1"/>
    <n v="6"/>
    <s v="3*"/>
    <n v="6"/>
    <n v="7"/>
    <n v="85.71"/>
    <n v="0"/>
    <n v="0"/>
    <n v="0"/>
    <n v="0"/>
    <n v="0"/>
    <n v="8"/>
    <n v="19.5"/>
    <n v="0"/>
    <n v="188"/>
    <n v="4"/>
    <d v="1932-02-01T00:00:00"/>
    <n v="47"/>
    <n v="9.4700000000000006"/>
    <n v="29.7"/>
    <n v="0"/>
    <n v="0"/>
    <n v="1"/>
    <n v="0"/>
    <n v="10"/>
    <n v="47"/>
  </r>
  <r>
    <x v="10"/>
    <x v="209"/>
    <x v="3"/>
    <n v="10"/>
    <n v="1"/>
    <n v="1"/>
    <n v="5"/>
    <s v="5*"/>
    <s v="-"/>
    <n v="3"/>
    <n v="166.66"/>
    <n v="0"/>
    <n v="0"/>
    <n v="0"/>
    <n v="1"/>
    <n v="0"/>
    <n v="10"/>
    <n v="35"/>
    <n v="1"/>
    <n v="335"/>
    <n v="6"/>
    <d v="2014-01-01T00:00:00"/>
    <n v="55.83"/>
    <n v="9.57"/>
    <n v="35"/>
    <n v="0"/>
    <n v="0"/>
    <n v="5"/>
    <n v="0"/>
    <n v="14"/>
    <n v="55.833333333333336"/>
  </r>
  <r>
    <x v="10"/>
    <x v="224"/>
    <x v="3"/>
    <n v="12"/>
    <n v="10"/>
    <n v="2"/>
    <n v="319"/>
    <s v="73*"/>
    <n v="39.869999999999997"/>
    <n v="275"/>
    <n v="116"/>
    <n v="0"/>
    <n v="3"/>
    <n v="0"/>
    <n v="30"/>
    <n v="4"/>
    <s v="-"/>
    <s v="-"/>
    <s v="-"/>
    <s v="-"/>
    <s v="-"/>
    <s v="-"/>
    <s v="-"/>
    <s v="-"/>
    <s v="-"/>
    <s v="-"/>
    <s v="-"/>
    <n v="3"/>
    <n v="0"/>
    <n v="15"/>
    <e v="#VALUE!"/>
  </r>
  <r>
    <x v="10"/>
    <x v="225"/>
    <x v="2"/>
    <n v="15"/>
    <n v="14"/>
    <n v="1"/>
    <n v="370"/>
    <s v="65*"/>
    <n v="28.46"/>
    <n v="313"/>
    <n v="118.21"/>
    <n v="0"/>
    <n v="1"/>
    <n v="0"/>
    <n v="39"/>
    <n v="5"/>
    <s v="-"/>
    <s v="-"/>
    <s v="-"/>
    <s v="-"/>
    <s v="-"/>
    <s v="-"/>
    <s v="-"/>
    <s v="-"/>
    <s v="-"/>
    <s v="-"/>
    <s v="-"/>
    <n v="4"/>
    <n v="0"/>
    <n v="7"/>
    <e v="#VALUE!"/>
  </r>
  <r>
    <x v="10"/>
    <x v="225"/>
    <x v="3"/>
    <n v="14"/>
    <n v="13"/>
    <n v="1"/>
    <n v="393"/>
    <s v="105*"/>
    <n v="32.75"/>
    <n v="285"/>
    <n v="137.88999999999999"/>
    <n v="1"/>
    <n v="1"/>
    <n v="1"/>
    <n v="45"/>
    <n v="9"/>
    <s v="-"/>
    <s v="-"/>
    <s v="-"/>
    <s v="-"/>
    <s v="-"/>
    <s v="-"/>
    <s v="-"/>
    <s v="-"/>
    <s v="-"/>
    <s v="-"/>
    <s v="-"/>
    <n v="5"/>
    <n v="0"/>
    <n v="5"/>
    <e v="#VALUE!"/>
  </r>
  <r>
    <x v="10"/>
    <x v="237"/>
    <x v="2"/>
    <n v="1"/>
    <s v="-"/>
    <s v="-"/>
    <s v="-"/>
    <s v="-"/>
    <s v="-"/>
    <s v="-"/>
    <s v="-"/>
    <s v="-"/>
    <s v="-"/>
    <s v="-"/>
    <s v="-"/>
    <s v="-"/>
    <n v="1"/>
    <n v="1"/>
    <n v="0"/>
    <n v="11"/>
    <n v="0"/>
    <s v="-"/>
    <s v="-"/>
    <n v="11"/>
    <s v="-"/>
    <n v="0"/>
    <n v="0"/>
    <n v="0"/>
    <n v="0"/>
    <n v="4"/>
    <e v="#DIV/0!"/>
  </r>
  <r>
    <x v="10"/>
    <x v="242"/>
    <x v="2"/>
    <n v="13"/>
    <n v="13"/>
    <n v="1"/>
    <n v="196"/>
    <n v="45"/>
    <n v="16.329999999999998"/>
    <n v="161"/>
    <n v="121.73"/>
    <n v="0"/>
    <n v="0"/>
    <n v="1"/>
    <n v="13"/>
    <n v="6"/>
    <n v="12"/>
    <n v="37"/>
    <n v="1"/>
    <n v="303"/>
    <n v="8"/>
    <d v="2015-03-01T00:00:00"/>
    <n v="37.869999999999997"/>
    <n v="8.18"/>
    <n v="27.7"/>
    <n v="0"/>
    <n v="0"/>
    <n v="6"/>
    <n v="0"/>
    <n v="15"/>
    <n v="37.875"/>
  </r>
  <r>
    <x v="10"/>
    <x v="242"/>
    <x v="3"/>
    <n v="9"/>
    <n v="9"/>
    <n v="3"/>
    <n v="123"/>
    <n v="46"/>
    <n v="20.5"/>
    <n v="99"/>
    <n v="124.24"/>
    <n v="0"/>
    <n v="0"/>
    <n v="1"/>
    <n v="8"/>
    <n v="4"/>
    <n v="6"/>
    <n v="16.5"/>
    <n v="0"/>
    <n v="189"/>
    <n v="6"/>
    <d v="1939-02-01T00:00:00"/>
    <n v="31.5"/>
    <n v="11.22"/>
    <n v="16.8"/>
    <n v="0"/>
    <n v="0"/>
    <n v="3"/>
    <n v="0"/>
    <n v="10"/>
    <n v="31.5"/>
  </r>
  <r>
    <x v="10"/>
    <x v="243"/>
    <x v="2"/>
    <n v="12"/>
    <n v="12"/>
    <n v="3"/>
    <n v="226"/>
    <s v="80*"/>
    <n v="25.11"/>
    <n v="167"/>
    <n v="135.32"/>
    <n v="0"/>
    <n v="1"/>
    <n v="0"/>
    <n v="18"/>
    <n v="8"/>
    <s v="-"/>
    <s v="-"/>
    <s v="-"/>
    <s v="-"/>
    <s v="-"/>
    <s v="-"/>
    <s v="-"/>
    <s v="-"/>
    <s v="-"/>
    <s v="-"/>
    <s v="-"/>
    <n v="4"/>
    <n v="0"/>
    <n v="16"/>
    <e v="#VALUE!"/>
  </r>
  <r>
    <x v="10"/>
    <x v="243"/>
    <x v="3"/>
    <n v="8"/>
    <n v="7"/>
    <n v="1"/>
    <n v="141"/>
    <n v="50"/>
    <n v="23.5"/>
    <n v="118"/>
    <n v="119.49"/>
    <n v="0"/>
    <n v="1"/>
    <n v="0"/>
    <n v="13"/>
    <n v="2"/>
    <s v="-"/>
    <s v="-"/>
    <s v="-"/>
    <s v="-"/>
    <s v="-"/>
    <s v="-"/>
    <s v="-"/>
    <s v="-"/>
    <s v="-"/>
    <s v="-"/>
    <s v="-"/>
    <n v="3"/>
    <n v="0"/>
    <n v="5"/>
    <e v="#VALUE!"/>
  </r>
  <r>
    <x v="10"/>
    <x v="252"/>
    <x v="2"/>
    <n v="2"/>
    <n v="2"/>
    <n v="1"/>
    <n v="20"/>
    <n v="11"/>
    <n v="20"/>
    <n v="21"/>
    <n v="95.23"/>
    <n v="0"/>
    <n v="0"/>
    <n v="0"/>
    <n v="1"/>
    <n v="0"/>
    <n v="2"/>
    <n v="3"/>
    <n v="0"/>
    <n v="27"/>
    <n v="0"/>
    <s v="-"/>
    <s v="-"/>
    <n v="9"/>
    <s v="-"/>
    <n v="0"/>
    <n v="0"/>
    <n v="0"/>
    <n v="0"/>
    <n v="6"/>
    <e v="#DIV/0!"/>
  </r>
  <r>
    <x v="10"/>
    <x v="252"/>
    <x v="3"/>
    <n v="2"/>
    <n v="1"/>
    <n v="0"/>
    <n v="8"/>
    <n v="8"/>
    <n v="8"/>
    <n v="3"/>
    <n v="266.66000000000003"/>
    <n v="0"/>
    <n v="0"/>
    <n v="0"/>
    <n v="2"/>
    <n v="0"/>
    <s v="-"/>
    <s v="-"/>
    <s v="-"/>
    <s v="-"/>
    <s v="-"/>
    <s v="-"/>
    <s v="-"/>
    <s v="-"/>
    <s v="-"/>
    <s v="-"/>
    <s v="-"/>
    <n v="1"/>
    <n v="0"/>
    <n v="6"/>
    <e v="#VALUE!"/>
  </r>
  <r>
    <x v="10"/>
    <x v="180"/>
    <x v="2"/>
    <n v="4"/>
    <n v="4"/>
    <n v="1"/>
    <n v="57"/>
    <n v="32"/>
    <n v="19"/>
    <n v="47"/>
    <n v="121.27"/>
    <n v="0"/>
    <n v="0"/>
    <n v="1"/>
    <n v="5"/>
    <n v="1"/>
    <s v="-"/>
    <s v="-"/>
    <s v="-"/>
    <s v="-"/>
    <s v="-"/>
    <s v="-"/>
    <s v="-"/>
    <s v="-"/>
    <s v="-"/>
    <s v="-"/>
    <s v="-"/>
    <n v="3"/>
    <n v="4"/>
    <n v="8"/>
    <e v="#VALUE!"/>
  </r>
  <r>
    <x v="10"/>
    <x v="253"/>
    <x v="2"/>
    <n v="7"/>
    <n v="7"/>
    <n v="0"/>
    <n v="115"/>
    <n v="44"/>
    <n v="16.420000000000002"/>
    <n v="99"/>
    <n v="116.16"/>
    <n v="0"/>
    <n v="0"/>
    <n v="0"/>
    <n v="11"/>
    <n v="5"/>
    <n v="2"/>
    <n v="3"/>
    <n v="0"/>
    <n v="19"/>
    <n v="1"/>
    <d v="2020-10-01T00:00:00"/>
    <n v="19"/>
    <n v="6.33"/>
    <n v="18"/>
    <n v="0"/>
    <n v="0"/>
    <n v="2"/>
    <n v="0"/>
    <n v="12"/>
    <n v="19"/>
  </r>
  <r>
    <x v="10"/>
    <x v="254"/>
    <x v="2"/>
    <n v="15"/>
    <n v="13"/>
    <n v="4"/>
    <n v="126"/>
    <s v="33*"/>
    <n v="14"/>
    <n v="64"/>
    <n v="196.87"/>
    <n v="0"/>
    <n v="0"/>
    <n v="1"/>
    <n v="9"/>
    <n v="9"/>
    <n v="15"/>
    <n v="40"/>
    <n v="0"/>
    <n v="312"/>
    <n v="11"/>
    <d v="2020-12-02T00:00:00"/>
    <n v="28.36"/>
    <n v="7.8"/>
    <n v="21.8"/>
    <n v="0"/>
    <n v="0"/>
    <n v="10"/>
    <n v="0"/>
    <n v="5"/>
    <n v="28.363636363636363"/>
  </r>
  <r>
    <x v="10"/>
    <x v="254"/>
    <x v="3"/>
    <n v="7"/>
    <n v="4"/>
    <n v="1"/>
    <n v="18"/>
    <n v="9"/>
    <n v="6"/>
    <n v="19"/>
    <n v="94.73"/>
    <n v="0"/>
    <n v="0"/>
    <n v="0"/>
    <n v="1"/>
    <n v="1"/>
    <n v="7"/>
    <n v="20"/>
    <n v="0"/>
    <n v="166"/>
    <n v="1"/>
    <d v="1932-01-01T00:00:00"/>
    <n v="166"/>
    <n v="8.3000000000000007"/>
    <n v="120"/>
    <n v="0"/>
    <n v="0"/>
    <n v="0"/>
    <n v="0"/>
    <n v="11"/>
    <n v="166"/>
  </r>
  <r>
    <x v="10"/>
    <x v="255"/>
    <x v="2"/>
    <n v="1"/>
    <n v="1"/>
    <n v="0"/>
    <n v="8"/>
    <n v="8"/>
    <n v="8"/>
    <n v="6"/>
    <n v="133.33000000000001"/>
    <n v="0"/>
    <n v="0"/>
    <n v="0"/>
    <n v="2"/>
    <n v="0"/>
    <s v="-"/>
    <s v="-"/>
    <s v="-"/>
    <s v="-"/>
    <s v="-"/>
    <s v="-"/>
    <s v="-"/>
    <s v="-"/>
    <s v="-"/>
    <s v="-"/>
    <s v="-"/>
    <n v="0"/>
    <n v="0"/>
    <n v="17"/>
    <e v="#VALUE!"/>
  </r>
  <r>
    <x v="10"/>
    <x v="255"/>
    <x v="3"/>
    <n v="1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n v="0"/>
    <n v="0"/>
    <n v="6"/>
    <e v="#VALUE!"/>
  </r>
  <r>
    <x v="10"/>
    <x v="256"/>
    <x v="2"/>
    <n v="10"/>
    <n v="8"/>
    <n v="3"/>
    <n v="15"/>
    <n v="8"/>
    <n v="3"/>
    <n v="21"/>
    <n v="71.42"/>
    <n v="0"/>
    <n v="0"/>
    <n v="3"/>
    <n v="2"/>
    <n v="0"/>
    <n v="10"/>
    <n v="38.5"/>
    <n v="0"/>
    <n v="325"/>
    <n v="15"/>
    <d v="2022-03-01T00:00:00"/>
    <n v="21.66"/>
    <n v="8.36"/>
    <n v="15.5"/>
    <n v="0"/>
    <n v="0"/>
    <n v="1"/>
    <n v="0"/>
    <n v="5"/>
    <n v="21.666666666666668"/>
  </r>
  <r>
    <x v="10"/>
    <x v="256"/>
    <x v="3"/>
    <n v="11"/>
    <n v="5"/>
    <n v="3"/>
    <n v="67"/>
    <s v="27*"/>
    <n v="33.5"/>
    <n v="40"/>
    <n v="167.5"/>
    <n v="0"/>
    <n v="0"/>
    <n v="0"/>
    <n v="4"/>
    <n v="4"/>
    <n v="11"/>
    <n v="43"/>
    <n v="2"/>
    <n v="291"/>
    <n v="11"/>
    <d v="2015-03-01T00:00:00"/>
    <n v="26.45"/>
    <n v="6.76"/>
    <n v="23.4"/>
    <n v="0"/>
    <n v="0"/>
    <n v="3"/>
    <n v="0"/>
    <n v="15"/>
    <n v="26.454545454545453"/>
  </r>
  <r>
    <x v="10"/>
    <x v="257"/>
    <x v="2"/>
    <n v="7"/>
    <n v="2"/>
    <n v="1"/>
    <n v="1"/>
    <s v="1*"/>
    <n v="1"/>
    <n v="4"/>
    <n v="25"/>
    <n v="0"/>
    <n v="0"/>
    <n v="1"/>
    <n v="0"/>
    <n v="0"/>
    <n v="7"/>
    <n v="20.5"/>
    <n v="0"/>
    <n v="211"/>
    <n v="9"/>
    <d v="2015-02-01T00:00:00"/>
    <n v="23.44"/>
    <n v="10.119999999999999"/>
    <n v="13.8"/>
    <n v="0"/>
    <n v="0"/>
    <n v="1"/>
    <n v="0"/>
    <n v="7"/>
    <n v="23.444444444444443"/>
  </r>
  <r>
    <x v="10"/>
    <x v="258"/>
    <x v="2"/>
    <n v="6"/>
    <n v="1"/>
    <n v="0"/>
    <n v="1"/>
    <n v="1"/>
    <n v="1"/>
    <n v="6"/>
    <n v="16.66"/>
    <n v="0"/>
    <n v="0"/>
    <n v="0"/>
    <n v="0"/>
    <n v="0"/>
    <n v="6"/>
    <n v="23"/>
    <n v="0"/>
    <n v="135"/>
    <n v="5"/>
    <d v="2014-01-01T00:00:00"/>
    <n v="27"/>
    <n v="5.86"/>
    <n v="27.6"/>
    <n v="0"/>
    <n v="0"/>
    <n v="0"/>
    <n v="0"/>
    <n v="4"/>
    <n v="27"/>
  </r>
  <r>
    <x v="10"/>
    <x v="258"/>
    <x v="3"/>
    <n v="2"/>
    <n v="1"/>
    <n v="0"/>
    <n v="6"/>
    <n v="6"/>
    <n v="6"/>
    <n v="11"/>
    <n v="54.54"/>
    <n v="0"/>
    <n v="0"/>
    <n v="0"/>
    <n v="0"/>
    <n v="0"/>
    <n v="2"/>
    <n v="7.1"/>
    <n v="1"/>
    <n v="67"/>
    <n v="4"/>
    <d v="2026-03-01T00:00:00"/>
    <n v="16.75"/>
    <n v="9.34"/>
    <n v="10.7"/>
    <n v="0"/>
    <n v="0"/>
    <n v="0"/>
    <n v="0"/>
    <n v="15"/>
    <n v="16.75"/>
  </r>
  <r>
    <x v="10"/>
    <x v="259"/>
    <x v="3"/>
    <n v="7"/>
    <n v="5"/>
    <n v="0"/>
    <n v="160"/>
    <n v="50"/>
    <n v="32"/>
    <n v="126"/>
    <n v="126.98"/>
    <n v="0"/>
    <n v="1"/>
    <n v="0"/>
    <n v="17"/>
    <n v="5"/>
    <n v="7"/>
    <n v="14"/>
    <n v="0"/>
    <n v="121"/>
    <n v="2"/>
    <d v="2020-10-01T00:00:00"/>
    <n v="60.5"/>
    <n v="8.64"/>
    <n v="42"/>
    <n v="0"/>
    <n v="0"/>
    <n v="5"/>
    <n v="0"/>
    <n v="18"/>
    <n v="60.5"/>
  </r>
  <r>
    <x v="10"/>
    <x v="260"/>
    <x v="3"/>
    <n v="4"/>
    <n v="4"/>
    <n v="1"/>
    <n v="70"/>
    <n v="44"/>
    <n v="23.33"/>
    <n v="48"/>
    <n v="145.83000000000001"/>
    <n v="0"/>
    <n v="0"/>
    <n v="0"/>
    <n v="6"/>
    <n v="5"/>
    <n v="1"/>
    <n v="1"/>
    <n v="0"/>
    <n v="13"/>
    <n v="0"/>
    <s v="-"/>
    <s v="-"/>
    <n v="13"/>
    <s v="-"/>
    <n v="0"/>
    <n v="0"/>
    <n v="4"/>
    <n v="0"/>
    <n v="15"/>
    <e v="#DIV/0!"/>
  </r>
  <r>
    <x v="10"/>
    <x v="261"/>
    <x v="3"/>
    <n v="4"/>
    <n v="4"/>
    <n v="1"/>
    <n v="3"/>
    <s v="3*"/>
    <n v="1"/>
    <n v="10"/>
    <n v="30"/>
    <n v="0"/>
    <n v="0"/>
    <n v="3"/>
    <n v="0"/>
    <n v="0"/>
    <s v="-"/>
    <s v="-"/>
    <s v="-"/>
    <s v="-"/>
    <s v="-"/>
    <s v="-"/>
    <s v="-"/>
    <s v="-"/>
    <s v="-"/>
    <s v="-"/>
    <s v="-"/>
    <n v="0"/>
    <n v="0"/>
    <n v="11"/>
    <e v="#VALUE!"/>
  </r>
  <r>
    <x v="10"/>
    <x v="262"/>
    <x v="3"/>
    <n v="1"/>
    <s v="-"/>
    <s v="-"/>
    <s v="-"/>
    <s v="-"/>
    <s v="-"/>
    <s v="-"/>
    <s v="-"/>
    <s v="-"/>
    <s v="-"/>
    <s v="-"/>
    <s v="-"/>
    <s v="-"/>
    <n v="1"/>
    <n v="2"/>
    <n v="0"/>
    <n v="27"/>
    <n v="0"/>
    <s v="-"/>
    <s v="-"/>
    <n v="13.5"/>
    <s v="-"/>
    <n v="0"/>
    <n v="0"/>
    <n v="1"/>
    <n v="0"/>
    <n v="12"/>
    <e v="#DIV/0!"/>
  </r>
  <r>
    <x v="10"/>
    <x v="263"/>
    <x v="3"/>
    <n v="4"/>
    <s v="-"/>
    <s v="-"/>
    <s v="-"/>
    <s v="-"/>
    <s v="-"/>
    <s v="-"/>
    <s v="-"/>
    <s v="-"/>
    <s v="-"/>
    <s v="-"/>
    <s v="-"/>
    <s v="-"/>
    <n v="4"/>
    <n v="10"/>
    <n v="0"/>
    <n v="79"/>
    <n v="5"/>
    <d v="2020-06-02T00:00:00"/>
    <n v="15.8"/>
    <n v="7.9"/>
    <n v="12"/>
    <n v="0"/>
    <n v="0"/>
    <n v="1"/>
    <n v="0"/>
    <n v="12"/>
    <n v="15.8"/>
  </r>
  <r>
    <x v="11"/>
    <x v="0"/>
    <x v="3"/>
    <n v="9"/>
    <n v="6"/>
    <n v="0"/>
    <n v="32"/>
    <n v="17"/>
    <n v="5.33"/>
    <n v="37"/>
    <n v="86.48"/>
    <n v="0"/>
    <n v="0"/>
    <n v="3"/>
    <n v="1"/>
    <n v="2"/>
    <n v="9"/>
    <n v="33"/>
    <n v="0"/>
    <n v="306"/>
    <n v="13"/>
    <d v="2022-03-01T00:00:00"/>
    <n v="23.53"/>
    <n v="9.27"/>
    <n v="15.2"/>
    <n v="0"/>
    <n v="0"/>
    <n v="4"/>
    <n v="0"/>
    <n v="16"/>
    <n v="23.53846153846154"/>
  </r>
  <r>
    <x v="11"/>
    <x v="6"/>
    <x v="3"/>
    <n v="16"/>
    <n v="16"/>
    <n v="3"/>
    <n v="488"/>
    <s v="78*"/>
    <n v="37.53"/>
    <n v="300"/>
    <n v="162.66"/>
    <n v="0"/>
    <n v="3"/>
    <n v="0"/>
    <n v="37"/>
    <n v="27"/>
    <s v="-"/>
    <s v="-"/>
    <s v="-"/>
    <s v="-"/>
    <s v="-"/>
    <s v="-"/>
    <s v="-"/>
    <s v="-"/>
    <s v="-"/>
    <s v="-"/>
    <s v="-"/>
    <n v="18"/>
    <n v="6"/>
    <n v="14"/>
    <e v="#VALUE!"/>
  </r>
  <r>
    <x v="11"/>
    <x v="10"/>
    <x v="3"/>
    <n v="16"/>
    <n v="16"/>
    <n v="1"/>
    <n v="463"/>
    <n v="67"/>
    <n v="30.86"/>
    <n v="386"/>
    <n v="119.94"/>
    <n v="0"/>
    <n v="3"/>
    <n v="0"/>
    <n v="41"/>
    <n v="14"/>
    <s v="-"/>
    <s v="-"/>
    <s v="-"/>
    <s v="-"/>
    <s v="-"/>
    <s v="-"/>
    <s v="-"/>
    <s v="-"/>
    <s v="-"/>
    <s v="-"/>
    <s v="-"/>
    <n v="8"/>
    <n v="0"/>
    <n v="11"/>
    <e v="#VALUE!"/>
  </r>
  <r>
    <x v="11"/>
    <x v="14"/>
    <x v="3"/>
    <n v="11"/>
    <n v="4"/>
    <n v="2"/>
    <n v="21"/>
    <n v="8"/>
    <n v="10.5"/>
    <n v="24"/>
    <n v="87.5"/>
    <n v="0"/>
    <n v="0"/>
    <n v="0"/>
    <n v="2"/>
    <n v="0"/>
    <n v="11"/>
    <n v="40"/>
    <n v="0"/>
    <n v="270"/>
    <n v="11"/>
    <d v="2017-03-01T00:00:00"/>
    <n v="24.54"/>
    <n v="6.75"/>
    <n v="21.8"/>
    <n v="0"/>
    <n v="0"/>
    <n v="1"/>
    <n v="0"/>
    <n v="12"/>
    <n v="24.545454545454547"/>
  </r>
  <r>
    <x v="11"/>
    <x v="50"/>
    <x v="3"/>
    <n v="14"/>
    <n v="12"/>
    <n v="6"/>
    <n v="110"/>
    <n v="26"/>
    <n v="18.329999999999998"/>
    <n v="88"/>
    <n v="125"/>
    <n v="0"/>
    <n v="0"/>
    <n v="1"/>
    <n v="10"/>
    <n v="3"/>
    <n v="14"/>
    <n v="51"/>
    <n v="0"/>
    <n v="364"/>
    <n v="10"/>
    <d v="2022-02-01T00:00:00"/>
    <n v="36.4"/>
    <n v="7.13"/>
    <n v="30.6"/>
    <n v="0"/>
    <n v="0"/>
    <n v="9"/>
    <n v="0"/>
    <n v="16"/>
    <n v="36.4"/>
  </r>
  <r>
    <x v="11"/>
    <x v="20"/>
    <x v="3"/>
    <n v="4"/>
    <n v="4"/>
    <n v="0"/>
    <n v="84"/>
    <n v="40"/>
    <n v="21"/>
    <n v="70"/>
    <n v="120"/>
    <n v="0"/>
    <n v="0"/>
    <n v="0"/>
    <n v="9"/>
    <n v="4"/>
    <s v="-"/>
    <s v="-"/>
    <s v="-"/>
    <s v="-"/>
    <s v="-"/>
    <s v="-"/>
    <s v="-"/>
    <s v="-"/>
    <s v="-"/>
    <s v="-"/>
    <s v="-"/>
    <n v="0"/>
    <n v="0"/>
    <n v="7"/>
    <e v="#VALUE!"/>
  </r>
  <r>
    <x v="11"/>
    <x v="138"/>
    <x v="3"/>
    <n v="1"/>
    <n v="1"/>
    <n v="0"/>
    <n v="6"/>
    <n v="6"/>
    <n v="6"/>
    <n v="15"/>
    <n v="40"/>
    <n v="0"/>
    <n v="0"/>
    <n v="0"/>
    <n v="0"/>
    <n v="0"/>
    <n v="1"/>
    <n v="4"/>
    <n v="0"/>
    <n v="28"/>
    <n v="2"/>
    <d v="2028-02-01T00:00:00"/>
    <n v="14"/>
    <n v="7"/>
    <n v="12"/>
    <n v="0"/>
    <n v="0"/>
    <n v="0"/>
    <n v="0"/>
    <n v="15"/>
    <n v="14"/>
  </r>
  <r>
    <x v="11"/>
    <x v="21"/>
    <x v="3"/>
    <n v="2"/>
    <n v="2"/>
    <n v="1"/>
    <n v="0"/>
    <s v="0*"/>
    <n v="0"/>
    <n v="2"/>
    <n v="0"/>
    <n v="0"/>
    <n v="0"/>
    <n v="1"/>
    <n v="0"/>
    <n v="0"/>
    <n v="2"/>
    <n v="8"/>
    <n v="0"/>
    <n v="77"/>
    <n v="2"/>
    <d v="1940-02-01T00:00:00"/>
    <n v="38.5"/>
    <n v="9.6199999999999992"/>
    <n v="24"/>
    <n v="0"/>
    <n v="0"/>
    <n v="0"/>
    <n v="0"/>
    <n v="9"/>
    <n v="38.5"/>
  </r>
  <r>
    <x v="11"/>
    <x v="188"/>
    <x v="3"/>
    <n v="16"/>
    <n v="16"/>
    <n v="1"/>
    <n v="521"/>
    <s v="97*"/>
    <n v="34.729999999999997"/>
    <n v="384"/>
    <n v="135.66999999999999"/>
    <n v="0"/>
    <n v="5"/>
    <n v="1"/>
    <n v="64"/>
    <n v="11"/>
    <s v="-"/>
    <s v="-"/>
    <s v="-"/>
    <s v="-"/>
    <s v="-"/>
    <s v="-"/>
    <s v="-"/>
    <s v="-"/>
    <s v="-"/>
    <s v="-"/>
    <s v="-"/>
    <n v="5"/>
    <n v="0"/>
    <n v="4"/>
    <e v="#VALUE!"/>
  </r>
  <r>
    <x v="11"/>
    <x v="24"/>
    <x v="3"/>
    <n v="5"/>
    <n v="3"/>
    <n v="2"/>
    <n v="7"/>
    <n v="6"/>
    <n v="7"/>
    <n v="4"/>
    <n v="175"/>
    <n v="0"/>
    <n v="0"/>
    <n v="0"/>
    <n v="0"/>
    <n v="1"/>
    <n v="5"/>
    <n v="19"/>
    <n v="0"/>
    <n v="163"/>
    <n v="5"/>
    <d v="2027-02-01T00:00:00"/>
    <n v="32.6"/>
    <n v="8.57"/>
    <n v="22.8"/>
    <n v="0"/>
    <n v="0"/>
    <n v="2"/>
    <n v="0"/>
    <n v="9"/>
    <n v="32.6"/>
  </r>
  <r>
    <x v="11"/>
    <x v="75"/>
    <x v="3"/>
    <n v="13"/>
    <n v="3"/>
    <n v="3"/>
    <n v="10"/>
    <s v="10*"/>
    <s v="-"/>
    <n v="3"/>
    <n v="333.33"/>
    <n v="0"/>
    <n v="0"/>
    <n v="0"/>
    <n v="1"/>
    <n v="1"/>
    <n v="13"/>
    <n v="46"/>
    <n v="1"/>
    <n v="349"/>
    <n v="13"/>
    <d v="1938-03-01T00:00:00"/>
    <n v="26.84"/>
    <n v="7.58"/>
    <n v="21.2"/>
    <n v="0"/>
    <n v="0"/>
    <n v="1"/>
    <n v="0"/>
    <n v="8"/>
    <n v="26.846153846153847"/>
  </r>
  <r>
    <x v="11"/>
    <x v="26"/>
    <x v="3"/>
    <n v="12"/>
    <n v="4"/>
    <n v="1"/>
    <n v="14"/>
    <n v="9"/>
    <n v="4.66"/>
    <n v="15"/>
    <n v="93.33"/>
    <n v="0"/>
    <n v="0"/>
    <n v="1"/>
    <n v="0"/>
    <n v="1"/>
    <n v="12"/>
    <n v="47"/>
    <n v="0"/>
    <n v="368"/>
    <n v="25"/>
    <d v="2021-04-01T00:00:00"/>
    <n v="14.72"/>
    <n v="7.82"/>
    <n v="11.2"/>
    <n v="2"/>
    <n v="0"/>
    <n v="6"/>
    <n v="0"/>
    <n v="17"/>
    <n v="14.72"/>
  </r>
  <r>
    <x v="11"/>
    <x v="31"/>
    <x v="3"/>
    <n v="5"/>
    <n v="4"/>
    <n v="3"/>
    <n v="26"/>
    <s v="11*"/>
    <n v="26"/>
    <n v="22"/>
    <n v="118.18"/>
    <n v="0"/>
    <n v="0"/>
    <n v="0"/>
    <n v="2"/>
    <n v="1"/>
    <n v="3"/>
    <n v="6.2"/>
    <n v="0"/>
    <n v="42"/>
    <n v="2"/>
    <d v="2020-10-01T00:00:00"/>
    <n v="21"/>
    <n v="6.63"/>
    <n v="19"/>
    <n v="0"/>
    <n v="0"/>
    <n v="6"/>
    <n v="0"/>
    <n v="13"/>
    <n v="21"/>
  </r>
  <r>
    <x v="11"/>
    <x v="32"/>
    <x v="3"/>
    <n v="1"/>
    <n v="1"/>
    <n v="1"/>
    <n v="4"/>
    <s v="4*"/>
    <s v="-"/>
    <n v="3"/>
    <n v="133.33000000000001"/>
    <n v="0"/>
    <n v="0"/>
    <n v="0"/>
    <n v="1"/>
    <n v="0"/>
    <n v="1"/>
    <n v="3"/>
    <n v="0"/>
    <n v="30"/>
    <n v="0"/>
    <s v="-"/>
    <s v="-"/>
    <n v="10"/>
    <s v="-"/>
    <n v="0"/>
    <n v="0"/>
    <n v="1"/>
    <n v="0"/>
    <n v="8"/>
    <e v="#DIV/0!"/>
  </r>
  <r>
    <x v="11"/>
    <x v="37"/>
    <x v="3"/>
    <n v="16"/>
    <n v="16"/>
    <n v="0"/>
    <n v="353"/>
    <n v="99"/>
    <n v="22.06"/>
    <n v="264"/>
    <n v="133.71"/>
    <n v="0"/>
    <n v="2"/>
    <n v="1"/>
    <n v="45"/>
    <n v="9"/>
    <s v="-"/>
    <s v="-"/>
    <s v="-"/>
    <s v="-"/>
    <s v="-"/>
    <s v="-"/>
    <s v="-"/>
    <s v="-"/>
    <s v="-"/>
    <s v="-"/>
    <s v="-"/>
    <n v="2"/>
    <n v="0"/>
    <n v="10"/>
    <e v="#VALUE!"/>
  </r>
  <r>
    <x v="11"/>
    <x v="40"/>
    <x v="3"/>
    <n v="6"/>
    <n v="1"/>
    <n v="0"/>
    <n v="0"/>
    <n v="0"/>
    <n v="0"/>
    <n v="1"/>
    <n v="0"/>
    <n v="0"/>
    <n v="0"/>
    <n v="1"/>
    <n v="0"/>
    <n v="0"/>
    <n v="6"/>
    <n v="23"/>
    <n v="0"/>
    <n v="210"/>
    <n v="8"/>
    <d v="1940-03-01T00:00:00"/>
    <n v="26.25"/>
    <n v="9.1300000000000008"/>
    <n v="17.2"/>
    <n v="0"/>
    <n v="0"/>
    <n v="2"/>
    <n v="0"/>
    <n v="8"/>
    <n v="26.25"/>
  </r>
  <r>
    <x v="11"/>
    <x v="264"/>
    <x v="3"/>
    <n v="12"/>
    <n v="12"/>
    <n v="2"/>
    <n v="184"/>
    <n v="47"/>
    <n v="18.399999999999999"/>
    <n v="154"/>
    <n v="119.48"/>
    <n v="0"/>
    <n v="0"/>
    <n v="0"/>
    <n v="20"/>
    <n v="5"/>
    <s v="-"/>
    <s v="-"/>
    <s v="-"/>
    <s v="-"/>
    <s v="-"/>
    <s v="-"/>
    <s v="-"/>
    <s v="-"/>
    <s v="-"/>
    <s v="-"/>
    <s v="-"/>
    <n v="1"/>
    <n v="0"/>
    <n v="6"/>
    <e v="#VALUE!"/>
  </r>
  <r>
    <x v="11"/>
    <x v="265"/>
    <x v="3"/>
    <n v="7"/>
    <n v="7"/>
    <n v="2"/>
    <n v="73"/>
    <s v="28*"/>
    <n v="14.6"/>
    <n v="54"/>
    <n v="135.18"/>
    <n v="0"/>
    <n v="0"/>
    <n v="0"/>
    <n v="2"/>
    <n v="7"/>
    <n v="6"/>
    <n v="6.5"/>
    <n v="0"/>
    <n v="59"/>
    <n v="1"/>
    <d v="2020-06-01T00:00:00"/>
    <n v="59"/>
    <n v="8.6300000000000008"/>
    <n v="41"/>
    <n v="0"/>
    <n v="0"/>
    <n v="5"/>
    <n v="0"/>
    <n v="17"/>
    <n v="59"/>
  </r>
  <r>
    <x v="11"/>
    <x v="266"/>
    <x v="3"/>
    <n v="8"/>
    <n v="6"/>
    <n v="1"/>
    <n v="18"/>
    <n v="7"/>
    <n v="3.6"/>
    <n v="24"/>
    <n v="75"/>
    <n v="0"/>
    <n v="0"/>
    <n v="2"/>
    <n v="1"/>
    <n v="1"/>
    <n v="8"/>
    <n v="27.1"/>
    <n v="0"/>
    <n v="237"/>
    <n v="9"/>
    <d v="2017-03-01T00:00:00"/>
    <n v="26.33"/>
    <n v="8.7200000000000006"/>
    <n v="18.100000000000001"/>
    <n v="0"/>
    <n v="0"/>
    <n v="5"/>
    <n v="0"/>
    <n v="12"/>
    <n v="26.333333333333332"/>
  </r>
  <r>
    <x v="11"/>
    <x v="267"/>
    <x v="3"/>
    <n v="2"/>
    <n v="2"/>
    <n v="0"/>
    <n v="4"/>
    <n v="2"/>
    <n v="2"/>
    <n v="8"/>
    <n v="50"/>
    <n v="0"/>
    <n v="0"/>
    <n v="0"/>
    <n v="0"/>
    <n v="0"/>
    <n v="1"/>
    <n v="1"/>
    <n v="0"/>
    <n v="9"/>
    <n v="0"/>
    <s v="-"/>
    <s v="-"/>
    <n v="9"/>
    <s v="-"/>
    <n v="0"/>
    <n v="0"/>
    <n v="0"/>
    <n v="0"/>
    <n v="8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86100-C525-48A0-BBC9-9F8CFCCC34D4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K2:L15" firstHeaderRow="1" firstDataRow="1" firstDataCol="1"/>
  <pivotFields count="31">
    <pivotField axis="axisRow" showAll="0" sortType="descending">
      <items count="13">
        <item x="9"/>
        <item x="11"/>
        <item x="0"/>
        <item x="6"/>
        <item x="1"/>
        <item x="2"/>
        <item x="3"/>
        <item x="10"/>
        <item x="8"/>
        <item x="7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 v="11"/>
    </i>
    <i>
      <x v="6"/>
    </i>
    <i>
      <x v="5"/>
    </i>
    <i>
      <x v="10"/>
    </i>
    <i>
      <x v="4"/>
    </i>
    <i>
      <x v="2"/>
    </i>
    <i>
      <x/>
    </i>
    <i>
      <x v="3"/>
    </i>
    <i>
      <x v="7"/>
    </i>
    <i>
      <x v="1"/>
    </i>
    <i>
      <x v="8"/>
    </i>
    <i>
      <x v="9"/>
    </i>
    <i t="grand">
      <x/>
    </i>
  </rowItems>
  <colItems count="1">
    <i/>
  </colItems>
  <dataFields count="1">
    <dataField name="Sum of Runds Scored" fld="6" baseField="0" baseItem="0"/>
  </dataFields>
  <chartFormats count="4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7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7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5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5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5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7" format="5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CF5BAA-2B80-4950-ADAC-EF5E03A72857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I5:AJ11" firstHeaderRow="1" firstDataRow="1" firstDataCol="1" rowPageCount="1" colPageCount="1"/>
  <pivotFields count="31">
    <pivotField multipleItemSelectionAllowed="1" showAll="0"/>
    <pivotField axis="axisRow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0"/>
    </i>
    <i>
      <x v="90"/>
    </i>
    <i>
      <x v="82"/>
    </i>
    <i>
      <x v="69"/>
    </i>
    <i>
      <x v="145"/>
    </i>
    <i t="grand">
      <x/>
    </i>
  </rowItems>
  <colItems count="1">
    <i/>
  </colItems>
  <pageFields count="1">
    <pageField fld="2" hier="-1"/>
  </pageFields>
  <dataFields count="1">
    <dataField name="Sum of Highest Score" fld="7" baseField="1" baseItem="0"/>
  </dataFields>
  <formats count="1">
    <format dxfId="1">
      <pivotArea dataOnly="0" grandRow="1" fieldPosition="0"/>
    </format>
  </format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</references>
      </pivotArea>
    </chartFormat>
    <chartFormat chart="4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69"/>
          </reference>
          <reference field="2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2FECE0-1B11-48BC-9579-C1458D29EB51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C2:AD32" firstHeaderRow="1" firstDataRow="1" firstDataCol="1"/>
  <pivotFields count="31">
    <pivotField multipleItemSelectionAllowed="1" showAll="0"/>
    <pivotField axis="axisRow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"/>
  </rowFields>
  <rowItems count="30">
    <i>
      <x v="261"/>
    </i>
    <i r="1">
      <x/>
    </i>
    <i r="1">
      <x v="1"/>
    </i>
    <i r="1">
      <x v="2"/>
    </i>
    <i r="1">
      <x v="3"/>
    </i>
    <i>
      <x v="255"/>
    </i>
    <i r="1">
      <x/>
    </i>
    <i r="1">
      <x v="2"/>
    </i>
    <i r="1">
      <x v="3"/>
    </i>
    <i>
      <x v="224"/>
    </i>
    <i r="1">
      <x/>
    </i>
    <i r="1">
      <x v="1"/>
    </i>
    <i r="1">
      <x v="2"/>
    </i>
    <i r="1">
      <x v="3"/>
    </i>
    <i>
      <x v="65"/>
    </i>
    <i r="1">
      <x/>
    </i>
    <i r="1">
      <x v="1"/>
    </i>
    <i r="1">
      <x v="2"/>
    </i>
    <i r="1">
      <x v="3"/>
    </i>
    <i>
      <x v="109"/>
    </i>
    <i r="1">
      <x/>
    </i>
    <i r="1">
      <x v="1"/>
    </i>
    <i r="1">
      <x v="2"/>
    </i>
    <i r="1">
      <x v="3"/>
    </i>
    <i>
      <x v="10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6s" fld="15" baseField="1" baseItem="0"/>
  </dataField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6" iMeasureFld="0">
      <autoFilter ref="A1">
        <filterColumn colId="0">
          <customFilters>
            <customFilter operator="greaterThan" val="7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A9D960-2F9F-460E-85E2-4C899AF759CC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M23:AN29" firstHeaderRow="1" firstDataRow="1" firstDataCol="1"/>
  <pivotFields count="31">
    <pivotField axis="axisRow" multipleItemSelectionAllowed="1" showAll="0" measureFilter="1" sortType="descending">
      <items count="13">
        <item x="9"/>
        <item x="11"/>
        <item x="0"/>
        <item x="6"/>
        <item x="1"/>
        <item x="2"/>
        <item x="3"/>
        <item x="10"/>
        <item x="8"/>
        <item x="7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/>
    <pivotField showAll="0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6">
    <i>
      <x v="10"/>
    </i>
    <i>
      <x v="4"/>
    </i>
    <i>
      <x v="11"/>
    </i>
    <i>
      <x v="5"/>
    </i>
    <i>
      <x v="6"/>
    </i>
    <i t="grand">
      <x/>
    </i>
  </rowItems>
  <colItems count="1">
    <i/>
  </colItems>
  <dataFields count="1">
    <dataField name="Count of Toss win" fld="29" subtotal="count" baseField="0" baseItem="0"/>
  </dataFields>
  <formats count="1">
    <format dxfId="2">
      <pivotArea dataOnly="0" grandRow="1" fieldPosition="0"/>
    </format>
  </formats>
  <chartFormats count="3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E40461-15BC-46C3-AC01-47F9ECB84EEC}" name="PivotTable1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 rowHeaderCaption="Players">
  <location ref="BT43:BU69" firstHeaderRow="1" firstDataRow="1" firstDataCol="1"/>
  <pivotFields count="31">
    <pivotField multipleItemSelectionAllowed="1" showAll="0"/>
    <pivotField axis="axisRow" multipleItemSelectionAllowed="1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>
      <items count="5">
        <item x="0"/>
        <item x="1"/>
        <item x="2"/>
        <item x="3"/>
        <item t="default"/>
      </items>
    </pivotField>
    <pivotField showAll="0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"/>
  </rowFields>
  <rowItems count="26">
    <i>
      <x v="170"/>
    </i>
    <i r="1">
      <x/>
    </i>
    <i r="1">
      <x v="1"/>
    </i>
    <i r="1">
      <x v="2"/>
    </i>
    <i r="1">
      <x v="3"/>
    </i>
    <i>
      <x v="237"/>
    </i>
    <i r="1">
      <x/>
    </i>
    <i r="1">
      <x v="1"/>
    </i>
    <i r="1">
      <x v="2"/>
    </i>
    <i r="1">
      <x v="3"/>
    </i>
    <i>
      <x v="3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49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Overs Bowled" fld="17" baseField="1" baseItem="0"/>
  </dataFields>
  <formats count="9">
    <format dxfId="11">
      <pivotArea dataOnly="0" grandRow="1" fieldPosition="0"/>
    </format>
    <format dxfId="10">
      <pivotArea collapsedLevelsAreSubtotals="1" fieldPosition="0">
        <references count="1">
          <reference field="1" count="1">
            <x v="170"/>
          </reference>
        </references>
      </pivotArea>
    </format>
    <format dxfId="9">
      <pivotArea collapsedLevelsAreSubtotals="1" fieldPosition="0">
        <references count="1">
          <reference field="1" count="1">
            <x v="237"/>
          </reference>
        </references>
      </pivotArea>
    </format>
    <format dxfId="8">
      <pivotArea collapsedLevelsAreSubtotals="1" fieldPosition="0">
        <references count="1">
          <reference field="1" count="1">
            <x v="31"/>
          </reference>
        </references>
      </pivotArea>
    </format>
    <format dxfId="7">
      <pivotArea collapsedLevelsAreSubtotals="1" fieldPosition="0">
        <references count="1">
          <reference field="1" count="1">
            <x v="2"/>
          </reference>
        </references>
      </pivotArea>
    </format>
    <format dxfId="6">
      <pivotArea collapsedLevelsAreSubtotals="1" fieldPosition="0">
        <references count="1">
          <reference field="1" count="1">
            <x v="49"/>
          </reference>
        </references>
      </pivotArea>
    </format>
    <format dxfId="5">
      <pivotArea collapsedLevelsAreSubtotals="1" fieldPosition="0">
        <references count="2">
          <reference field="1" count="1" selected="0">
            <x v="49"/>
          </reference>
          <reference field="2" count="1">
            <x v="3"/>
          </reference>
        </references>
      </pivotArea>
    </format>
    <format dxfId="4">
      <pivotArea collapsedLevelsAreSubtotals="1" fieldPosition="0">
        <references count="2">
          <reference field="1" count="1" selected="0">
            <x v="170"/>
          </reference>
          <reference field="2" count="1">
            <x v="3"/>
          </reference>
        </references>
      </pivotArea>
    </format>
    <format dxfId="3">
      <pivotArea collapsedLevelsAreSubtotals="1" fieldPosition="0">
        <references count="2">
          <reference field="1" count="1" selected="0">
            <x v="31"/>
          </reference>
          <reference field="2" count="1">
            <x v="3"/>
          </reference>
        </references>
      </pivotArea>
    </format>
  </formats>
  <chartFormats count="84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2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0"/>
          </reference>
        </references>
      </pivotArea>
    </chartFormat>
    <chartFormat chart="12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2"/>
          </reference>
        </references>
      </pivotArea>
    </chartFormat>
    <chartFormat chart="12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2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0"/>
          </reference>
        </references>
      </pivotArea>
    </chartFormat>
    <chartFormat chart="12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1"/>
          </reference>
        </references>
      </pivotArea>
    </chartFormat>
    <chartFormat chart="12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2"/>
          </reference>
        </references>
      </pivotArea>
    </chartFormat>
    <chartFormat chart="12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3"/>
          </reference>
        </references>
      </pivotArea>
    </chartFormat>
    <chartFormat chart="12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0"/>
          </reference>
        </references>
      </pivotArea>
    </chartFormat>
    <chartFormat chart="12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2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2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12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12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2" format="1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12" format="1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12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0"/>
          </reference>
        </references>
      </pivotArea>
    </chartFormat>
    <chartFormat chart="12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1"/>
          </reference>
        </references>
      </pivotArea>
    </chartFormat>
    <chartFormat chart="12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2"/>
          </reference>
        </references>
      </pivotArea>
    </chartFormat>
    <chartFormat chart="12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3"/>
          </reference>
        </references>
      </pivotArea>
    </chartFormat>
    <chartFormat chart="1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0"/>
          </reference>
        </references>
      </pivotArea>
    </chartFormat>
    <chartFormat chart="13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3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2"/>
          </reference>
        </references>
      </pivotArea>
    </chartFormat>
    <chartFormat chart="13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3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0"/>
          </reference>
        </references>
      </pivotArea>
    </chartFormat>
    <chartFormat chart="13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1"/>
          </reference>
        </references>
      </pivotArea>
    </chartFormat>
    <chartFormat chart="13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2"/>
          </reference>
        </references>
      </pivotArea>
    </chartFormat>
    <chartFormat chart="13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3"/>
          </reference>
        </references>
      </pivotArea>
    </chartFormat>
    <chartFormat chart="13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0"/>
          </reference>
        </references>
      </pivotArea>
    </chartFormat>
    <chartFormat chart="13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3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3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13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13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3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13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13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0"/>
          </reference>
        </references>
      </pivotArea>
    </chartFormat>
    <chartFormat chart="13" format="39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1"/>
          </reference>
        </references>
      </pivotArea>
    </chartFormat>
    <chartFormat chart="13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2"/>
          </reference>
        </references>
      </pivotArea>
    </chartFormat>
    <chartFormat chart="13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3"/>
          </reference>
        </references>
      </pivotArea>
    </chartFormat>
    <chartFormat chart="14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0"/>
          </reference>
        </references>
      </pivotArea>
    </chartFormat>
    <chartFormat chart="1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4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2"/>
          </reference>
        </references>
      </pivotArea>
    </chartFormat>
    <chartFormat chart="14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4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0"/>
          </reference>
        </references>
      </pivotArea>
    </chartFormat>
    <chartFormat chart="14" format="48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1"/>
          </reference>
        </references>
      </pivotArea>
    </chartFormat>
    <chartFormat chart="14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2"/>
          </reference>
        </references>
      </pivotArea>
    </chartFormat>
    <chartFormat chart="14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3"/>
          </reference>
        </references>
      </pivotArea>
    </chartFormat>
    <chartFormat chart="14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0"/>
          </reference>
        </references>
      </pivotArea>
    </chartFormat>
    <chartFormat chart="14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4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4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14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14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4" format="5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14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14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0"/>
          </reference>
        </references>
      </pivotArea>
    </chartFormat>
    <chartFormat chart="14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1"/>
          </reference>
        </references>
      </pivotArea>
    </chartFormat>
    <chartFormat chart="14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2"/>
          </reference>
        </references>
      </pivotArea>
    </chartFormat>
    <chartFormat chart="14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3"/>
          </reference>
        </references>
      </pivotArea>
    </chartFormat>
    <chartFormat chart="16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0"/>
          </reference>
        </references>
      </pivotArea>
    </chartFormat>
    <chartFormat chart="16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6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2"/>
          </reference>
        </references>
      </pivotArea>
    </chartFormat>
    <chartFormat chart="16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6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0"/>
          </reference>
        </references>
      </pivotArea>
    </chartFormat>
    <chartFormat chart="16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1"/>
          </reference>
        </references>
      </pivotArea>
    </chartFormat>
    <chartFormat chart="16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2"/>
          </reference>
        </references>
      </pivotArea>
    </chartFormat>
    <chartFormat chart="16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237"/>
          </reference>
          <reference field="2" count="1" selected="0">
            <x v="3"/>
          </reference>
        </references>
      </pivotArea>
    </chartFormat>
    <chartFormat chart="16" format="93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0"/>
          </reference>
        </references>
      </pivotArea>
    </chartFormat>
    <chartFormat chart="16" format="94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6" format="95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6" format="96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16" format="9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16" format="9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16" format="9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16" format="10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16" format="101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0"/>
          </reference>
        </references>
      </pivotArea>
    </chartFormat>
    <chartFormat chart="16" format="102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1"/>
          </reference>
        </references>
      </pivotArea>
    </chartFormat>
    <chartFormat chart="16" format="103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2"/>
          </reference>
        </references>
      </pivotArea>
    </chartFormat>
    <chartFormat chart="16" format="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49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49D33-F3FD-4508-9359-5FFE381A198C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O3:AP19" firstHeaderRow="1" firstDataRow="1" firstDataCol="1"/>
  <pivotFields count="31">
    <pivotField multipleItemSelectionAllowed="1"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>
      <items count="5">
        <item h="1" x="0"/>
        <item h="1"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"/>
  </rowFields>
  <rowItems count="16">
    <i>
      <x v="35"/>
    </i>
    <i r="1">
      <x v="2"/>
    </i>
    <i r="1">
      <x v="3"/>
    </i>
    <i>
      <x v="255"/>
    </i>
    <i r="1">
      <x v="2"/>
    </i>
    <i r="1">
      <x v="3"/>
    </i>
    <i>
      <x v="121"/>
    </i>
    <i r="1">
      <x v="2"/>
    </i>
    <i r="1">
      <x v="3"/>
    </i>
    <i>
      <x v="31"/>
    </i>
    <i r="1">
      <x v="2"/>
    </i>
    <i r="1">
      <x v="3"/>
    </i>
    <i>
      <x v="72"/>
    </i>
    <i r="1">
      <x v="2"/>
    </i>
    <i r="1">
      <x v="3"/>
    </i>
    <i t="grand">
      <x/>
    </i>
  </rowItems>
  <colItems count="1">
    <i/>
  </colItems>
  <dataFields count="1">
    <dataField name="Sum of Batting Strike Rate" fld="10" baseField="1" baseItem="235"/>
  </dataFields>
  <formats count="1">
    <format dxfId="12">
      <pivotArea dataOnly="0" grandRow="1" fieldPosition="0"/>
    </format>
  </formats>
  <chartFormats count="4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6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3"/>
          </reference>
        </references>
      </pivotArea>
    </chartFormat>
    <chartFormat chart="6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2"/>
          </reference>
        </references>
      </pivotArea>
    </chartFormat>
    <chartFormat chart="6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3"/>
          </reference>
        </references>
      </pivotArea>
    </chartFormat>
    <chartFormat chart="6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2"/>
          </reference>
        </references>
      </pivotArea>
    </chartFormat>
    <chartFormat chart="6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3"/>
          </reference>
        </references>
      </pivotArea>
    </chartFormat>
    <chartFormat chart="6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2"/>
          </reference>
        </references>
      </pivotArea>
    </chartFormat>
    <chartFormat chart="6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3"/>
          </reference>
        </references>
      </pivotArea>
    </chartFormat>
    <chartFormat chart="6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6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2"/>
          </reference>
        </references>
      </pivotArea>
    </chartFormat>
    <chartFormat chart="8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3"/>
          </reference>
        </references>
      </pivotArea>
    </chartFormat>
    <chartFormat chart="8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2"/>
          </reference>
        </references>
      </pivotArea>
    </chartFormat>
    <chartFormat chart="8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3"/>
          </reference>
        </references>
      </pivotArea>
    </chartFormat>
    <chartFormat chart="8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2"/>
          </reference>
        </references>
      </pivotArea>
    </chartFormat>
    <chartFormat chart="8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3"/>
          </reference>
        </references>
      </pivotArea>
    </chartFormat>
    <chartFormat chart="8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8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8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8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3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2"/>
          </reference>
        </references>
      </pivotArea>
    </chartFormat>
    <chartFormat chart="10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3"/>
          </reference>
        </references>
      </pivotArea>
    </chartFormat>
    <chartFormat chart="10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2"/>
          </reference>
        </references>
      </pivotArea>
    </chartFormat>
    <chartFormat chart="10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3"/>
          </reference>
        </references>
      </pivotArea>
    </chartFormat>
    <chartFormat chart="10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2"/>
          </reference>
        </references>
      </pivotArea>
    </chartFormat>
    <chartFormat chart="10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3"/>
          </reference>
        </references>
      </pivotArea>
    </chartFormat>
    <chartFormat chart="10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0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10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10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3"/>
          </reference>
        </references>
      </pivotArea>
    </chartFormat>
    <chartFormat chart="12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2"/>
          </reference>
        </references>
      </pivotArea>
    </chartFormat>
    <chartFormat chart="12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2" count="1" selected="0">
            <x v="3"/>
          </reference>
        </references>
      </pivotArea>
    </chartFormat>
    <chartFormat chart="12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2"/>
          </reference>
        </references>
      </pivotArea>
    </chartFormat>
    <chartFormat chart="12" format="48">
      <pivotArea type="data" outline="0" fieldPosition="0">
        <references count="3">
          <reference field="4294967294" count="1" selected="0">
            <x v="0"/>
          </reference>
          <reference field="1" count="1" selected="0">
            <x v="255"/>
          </reference>
          <reference field="2" count="1" selected="0">
            <x v="3"/>
          </reference>
        </references>
      </pivotArea>
    </chartFormat>
    <chartFormat chart="12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2"/>
          </reference>
        </references>
      </pivotArea>
    </chartFormat>
    <chartFormat chart="12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121"/>
          </reference>
          <reference field="2" count="1" selected="0">
            <x v="3"/>
          </reference>
        </references>
      </pivotArea>
    </chartFormat>
    <chartFormat chart="12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2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3"/>
          </reference>
        </references>
      </pivotArea>
    </chartFormat>
    <chartFormat chart="12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12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count" evalOrder="-1" id="16" iMeasureFld="0">
      <autoFilter ref="A1">
        <filterColumn colId="0">
          <top10 val="5" filterVal="5"/>
        </filterColumn>
      </autoFilter>
    </filter>
    <filter fld="0" type="count" evalOrder="-1" id="1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65B1F-30A0-4626-814C-25E2016C37A1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V3:W10" firstHeaderRow="1" firstDataRow="1" firstDataCol="1"/>
  <pivotFields count="31">
    <pivotField axis="axisRow" multipleItemSelectionAllowed="1" showAll="0" sortType="descending">
      <items count="13">
        <item x="9"/>
        <item h="1" x="11"/>
        <item x="0"/>
        <item h="1" x="6"/>
        <item x="1"/>
        <item x="2"/>
        <item x="3"/>
        <item x="10"/>
        <item h="1" x="8"/>
        <item h="1" x="7"/>
        <item h="1" x="4"/>
        <item h="1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 v="4"/>
    </i>
    <i>
      <x v="5"/>
    </i>
    <i>
      <x v="6"/>
    </i>
    <i>
      <x v="2"/>
    </i>
    <i>
      <x v="7"/>
    </i>
    <i>
      <x/>
    </i>
    <i t="grand">
      <x/>
    </i>
  </rowItems>
  <colItems count="1">
    <i/>
  </colItems>
  <dataFields count="1">
    <dataField name="Count of 100" fld="11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064D22-5CF7-4661-8667-9B25ED61E7CB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L31:AM44" firstHeaderRow="1" firstDataRow="1" firstDataCol="1"/>
  <pivotFields count="31">
    <pivotField axis="axisRow" multipleItemSelectionAllowed="1" showAll="0">
      <items count="13">
        <item x="9"/>
        <item x="11"/>
        <item x="0"/>
        <item x="6"/>
        <item x="1"/>
        <item x="2"/>
        <item x="3"/>
        <item x="10"/>
        <item x="8"/>
        <item x="7"/>
        <item x="4"/>
        <item x="5"/>
        <item t="default"/>
      </items>
    </pivotField>
    <pivotField showAll="0"/>
    <pivotField multipleItemSelectionAllowed="1" showAll="0"/>
    <pivotField showAll="0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Bowling Innings" fld="16" subtotal="count" baseField="0" baseItem="0"/>
  </dataFields>
  <formats count="1">
    <format dxfId="13">
      <pivotArea dataOnly="0" grandRow="1" fieldPosition="0"/>
    </format>
  </formats>
  <chartFormats count="39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0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2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5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5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6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2" format="6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2" format="6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2" format="6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2" format="6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2" format="6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2" format="66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2" format="6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2" format="68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244F6-589F-4B28-88AE-22B9C38B3B7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B10" firstHeaderRow="1" firstDataRow="1" firstDataCol="1"/>
  <pivotFields count="31">
    <pivotField showAll="0"/>
    <pivotField axis="axisRow" showAll="0" measureFilter="1" sortType="descending">
      <items count="269">
        <item x="190"/>
        <item x="173"/>
        <item x="149"/>
        <item x="14"/>
        <item x="195"/>
        <item x="236"/>
        <item x="156"/>
        <item x="240"/>
        <item x="36"/>
        <item x="200"/>
        <item x="27"/>
        <item x="72"/>
        <item x="90"/>
        <item x="169"/>
        <item x="71"/>
        <item x="261"/>
        <item x="78"/>
        <item x="225"/>
        <item x="237"/>
        <item x="218"/>
        <item x="60"/>
        <item x="23"/>
        <item x="30"/>
        <item x="50"/>
        <item x="86"/>
        <item x="151"/>
        <item x="61"/>
        <item x="154"/>
        <item x="127"/>
        <item x="32"/>
        <item x="194"/>
        <item x="257"/>
        <item x="177"/>
        <item x="242"/>
        <item x="199"/>
        <item x="171"/>
        <item x="70"/>
        <item x="139"/>
        <item x="189"/>
        <item x="110"/>
        <item x="20"/>
        <item x="264"/>
        <item x="93"/>
        <item x="65"/>
        <item x="0"/>
        <item x="25"/>
        <item x="39"/>
        <item x="162"/>
        <item x="8"/>
        <item x="111"/>
        <item x="87"/>
        <item x="165"/>
        <item x="49"/>
        <item x="187"/>
        <item x="210"/>
        <item x="193"/>
        <item x="249"/>
        <item x="253"/>
        <item x="239"/>
        <item x="112"/>
        <item x="245"/>
        <item x="205"/>
        <item x="209"/>
        <item x="35"/>
        <item x="172"/>
        <item x="147"/>
        <item x="69"/>
        <item x="211"/>
        <item x="55"/>
        <item x="228"/>
        <item x="19"/>
        <item x="101"/>
        <item x="84"/>
        <item x="267"/>
        <item x="232"/>
        <item x="18"/>
        <item x="47"/>
        <item x="180"/>
        <item x="126"/>
        <item x="85"/>
        <item x="121"/>
        <item x="135"/>
        <item x="44"/>
        <item x="21"/>
        <item x="75"/>
        <item x="217"/>
        <item x="11"/>
        <item x="164"/>
        <item x="108"/>
        <item x="258"/>
        <item x="142"/>
        <item x="138"/>
        <item x="13"/>
        <item x="233"/>
        <item x="256"/>
        <item x="129"/>
        <item x="104"/>
        <item x="133"/>
        <item x="34"/>
        <item x="120"/>
        <item x="204"/>
        <item x="99"/>
        <item x="153"/>
        <item x="1"/>
        <item x="207"/>
        <item x="115"/>
        <item x="102"/>
        <item x="254"/>
        <item x="182"/>
        <item x="26"/>
        <item x="128"/>
        <item x="52"/>
        <item x="107"/>
        <item x="125"/>
        <item x="51"/>
        <item x="203"/>
        <item x="3"/>
        <item x="63"/>
        <item x="247"/>
        <item x="163"/>
        <item x="266"/>
        <item x="227"/>
        <item x="191"/>
        <item x="103"/>
        <item x="140"/>
        <item x="166"/>
        <item x="248"/>
        <item x="38"/>
        <item x="113"/>
        <item x="134"/>
        <item x="260"/>
        <item x="74"/>
        <item x="148"/>
        <item x="100"/>
        <item x="119"/>
        <item x="42"/>
        <item x="46"/>
        <item x="9"/>
        <item x="246"/>
        <item x="67"/>
        <item x="192"/>
        <item x="56"/>
        <item x="62"/>
        <item x="76"/>
        <item x="131"/>
        <item x="250"/>
        <item x="252"/>
        <item x="89"/>
        <item x="79"/>
        <item x="181"/>
        <item x="219"/>
        <item x="54"/>
        <item x="29"/>
        <item x="197"/>
        <item x="16"/>
        <item x="178"/>
        <item x="41"/>
        <item x="234"/>
        <item x="226"/>
        <item x="221"/>
        <item x="80"/>
        <item x="141"/>
        <item x="81"/>
        <item x="105"/>
        <item x="186"/>
        <item x="222"/>
        <item x="230"/>
        <item x="15"/>
        <item x="53"/>
        <item x="22"/>
        <item x="263"/>
        <item x="255"/>
        <item x="212"/>
        <item x="4"/>
        <item x="183"/>
        <item x="48"/>
        <item x="83"/>
        <item x="130"/>
        <item x="161"/>
        <item x="28"/>
        <item x="143"/>
        <item x="95"/>
        <item x="37"/>
        <item x="235"/>
        <item x="214"/>
        <item x="2"/>
        <item x="73"/>
        <item x="229"/>
        <item x="58"/>
        <item x="259"/>
        <item x="97"/>
        <item x="31"/>
        <item x="106"/>
        <item x="208"/>
        <item x="243"/>
        <item x="196"/>
        <item x="152"/>
        <item x="146"/>
        <item x="124"/>
        <item x="202"/>
        <item x="117"/>
        <item x="241"/>
        <item x="6"/>
        <item x="91"/>
        <item x="167"/>
        <item x="176"/>
        <item x="188"/>
        <item x="185"/>
        <item x="136"/>
        <item x="198"/>
        <item x="213"/>
        <item x="216"/>
        <item x="40"/>
        <item x="262"/>
        <item x="17"/>
        <item x="123"/>
        <item x="92"/>
        <item x="157"/>
        <item x="59"/>
        <item x="215"/>
        <item x="251"/>
        <item x="150"/>
        <item x="43"/>
        <item x="265"/>
        <item x="94"/>
        <item x="118"/>
        <item x="114"/>
        <item x="206"/>
        <item x="145"/>
        <item x="238"/>
        <item x="82"/>
        <item x="64"/>
        <item x="244"/>
        <item x="184"/>
        <item x="201"/>
        <item x="109"/>
        <item x="98"/>
        <item x="224"/>
        <item x="160"/>
        <item x="220"/>
        <item x="10"/>
        <item x="144"/>
        <item x="159"/>
        <item x="5"/>
        <item x="7"/>
        <item x="57"/>
        <item x="77"/>
        <item x="170"/>
        <item x="24"/>
        <item x="223"/>
        <item x="132"/>
        <item x="116"/>
        <item x="158"/>
        <item x="175"/>
        <item x="137"/>
        <item x="231"/>
        <item x="96"/>
        <item x="155"/>
        <item x="33"/>
        <item x="174"/>
        <item x="66"/>
        <item x="179"/>
        <item x="45"/>
        <item x="122"/>
        <item x="88"/>
        <item x="168"/>
        <item x="68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206"/>
    </i>
    <i>
      <x v="227"/>
    </i>
    <i>
      <x v="158"/>
    </i>
    <i>
      <x v="198"/>
    </i>
    <i>
      <x v="97"/>
    </i>
    <i>
      <x v="112"/>
    </i>
    <i t="grand">
      <x/>
    </i>
  </rowItems>
  <colItems count="1">
    <i/>
  </colItems>
  <dataFields count="1">
    <dataField name="Sum of Matches" fld="3" baseField="0" baseItem="0"/>
  </dataFields>
  <chartFormats count="4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5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5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7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7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7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7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7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7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9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9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9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9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9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10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10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10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10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92C2A4-F5ED-4955-B947-6E232D0D51E4}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 rowHeaderCaption="Players">
  <location ref="BJ42:BK63" firstHeaderRow="1" firstDataRow="1" firstDataCol="1"/>
  <pivotFields count="31">
    <pivotField multipleItemSelectionAllowed="1" showAll="0"/>
    <pivotField axis="axisRow" multipleItemSelectionAllowed="1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>
      <items count="5">
        <item h="1" x="0"/>
        <item x="1"/>
        <item x="2"/>
        <item x="3"/>
        <item t="default"/>
      </items>
    </pivotField>
    <pivotField showAll="0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mSubtotal="1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"/>
  </rowFields>
  <rowItems count="21">
    <i>
      <x v="231"/>
    </i>
    <i r="1">
      <x v="1"/>
    </i>
    <i r="1">
      <x v="2"/>
    </i>
    <i r="1">
      <x v="3"/>
    </i>
    <i>
      <x v="230"/>
    </i>
    <i r="1">
      <x v="1"/>
    </i>
    <i r="1">
      <x v="2"/>
    </i>
    <i r="1">
      <x v="3"/>
    </i>
    <i>
      <x v="17"/>
    </i>
    <i r="1">
      <x v="1"/>
    </i>
    <i r="1">
      <x v="2"/>
    </i>
    <i r="1">
      <x v="3"/>
    </i>
    <i>
      <x v="25"/>
    </i>
    <i r="1">
      <x v="1"/>
    </i>
    <i r="1">
      <x v="2"/>
    </i>
    <i r="1">
      <x v="3"/>
    </i>
    <i>
      <x v="111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Bowling Economy Rate" fld="23" baseField="1" baseItem="1"/>
  </dataFields>
  <formats count="1">
    <format dxfId="14">
      <pivotArea dataOnly="0" grandRow="1" fieldPosition="0"/>
    </format>
  </formats>
  <chartFormats count="3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B8DF32-4CB5-4FA7-A1C5-C89E6ADB9BCA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 rowHeaderCaption="Players">
  <location ref="AZ40:BA61" firstHeaderRow="1" firstDataRow="1" firstDataCol="1"/>
  <pivotFields count="31">
    <pivotField multipleItemSelectionAllowed="1" showAll="0"/>
    <pivotField axis="axisRow" multipleItemSelectionAllowed="1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>
      <items count="5">
        <item h="1" x="0"/>
        <item x="1"/>
        <item x="2"/>
        <item x="3"/>
        <item t="default"/>
      </items>
    </pivotField>
    <pivotField showAll="0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mSubtotal="1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"/>
  </rowFields>
  <rowItems count="21">
    <i>
      <x v="31"/>
    </i>
    <i r="1">
      <x v="1"/>
    </i>
    <i r="1">
      <x v="2"/>
    </i>
    <i r="1">
      <x v="3"/>
    </i>
    <i>
      <x v="170"/>
    </i>
    <i r="1">
      <x v="1"/>
    </i>
    <i r="1">
      <x v="2"/>
    </i>
    <i r="1">
      <x v="3"/>
    </i>
    <i>
      <x v="171"/>
    </i>
    <i r="1">
      <x v="1"/>
    </i>
    <i r="1">
      <x v="2"/>
    </i>
    <i r="1">
      <x v="3"/>
    </i>
    <i>
      <x v="11"/>
    </i>
    <i r="1">
      <x v="1"/>
    </i>
    <i r="1">
      <x v="2"/>
    </i>
    <i r="1">
      <x v="3"/>
    </i>
    <i>
      <x v="72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Runs Conceded" fld="19" baseField="1" baseItem="0"/>
  </dataFields>
  <formats count="1">
    <format dxfId="15">
      <pivotArea dataOnly="0" grandRow="1" fieldPosition="0"/>
    </format>
  </formats>
  <chartFormats count="3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0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0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0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171"/>
          </reference>
          <reference field="2" count="1" selected="0">
            <x v="2"/>
          </reference>
        </references>
      </pivotArea>
    </chartFormat>
    <chartFormat chart="10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</references>
      </pivotArea>
    </chartFormat>
    <chartFormat chart="10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</references>
      </pivotArea>
    </chartFormat>
    <chartFormat chart="10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2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2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2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2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71"/>
          </reference>
          <reference field="2" count="1" selected="0">
            <x v="2"/>
          </reference>
        </references>
      </pivotArea>
    </chartFormat>
    <chartFormat chart="12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</references>
      </pivotArea>
    </chartFormat>
    <chartFormat chart="12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</references>
      </pivotArea>
    </chartFormat>
    <chartFormat chart="12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13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3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3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3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3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171"/>
          </reference>
          <reference field="2" count="1" selected="0">
            <x v="2"/>
          </reference>
        </references>
      </pivotArea>
    </chartFormat>
    <chartFormat chart="13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</references>
      </pivotArea>
    </chartFormat>
    <chartFormat chart="13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</references>
      </pivotArea>
    </chartFormat>
    <chartFormat chart="13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  <chartFormat chart="1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1"/>
          </reference>
        </references>
      </pivotArea>
    </chartFormat>
    <chartFormat chart="14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2" count="1" selected="0">
            <x v="2"/>
          </reference>
        </references>
      </pivotArea>
    </chartFormat>
    <chartFormat chart="14" format="39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1"/>
          </reference>
        </references>
      </pivotArea>
    </chartFormat>
    <chartFormat chart="14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170"/>
          </reference>
          <reference field="2" count="1" selected="0">
            <x v="3"/>
          </reference>
        </references>
      </pivotArea>
    </chartFormat>
    <chartFormat chart="1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1"/>
          </reference>
          <reference field="2" count="1" selected="0">
            <x v="2"/>
          </reference>
        </references>
      </pivotArea>
    </chartFormat>
    <chartFormat chart="1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</references>
      </pivotArea>
    </chartFormat>
    <chartFormat chart="1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</references>
      </pivotArea>
    </chartFormat>
    <chartFormat chart="1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72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D8D44D-38CD-4E48-9A61-34DC0F77018C}" name="PivotTable9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 rowHeaderCaption="Players">
  <location ref="AP40:AQ65" firstHeaderRow="1" firstDataRow="1" firstDataCol="1"/>
  <pivotFields count="31">
    <pivotField multipleItemSelectionAllowed="1" showAll="0"/>
    <pivotField axis="axisRow" multipleItemSelectionAllowed="1" showAll="0" measureFilter="1" sortType="descending">
      <items count="269">
        <item x="12"/>
        <item x="68"/>
        <item x="168"/>
        <item x="88"/>
        <item x="122"/>
        <item x="45"/>
        <item x="179"/>
        <item x="66"/>
        <item x="174"/>
        <item x="33"/>
        <item x="155"/>
        <item x="96"/>
        <item x="231"/>
        <item x="137"/>
        <item x="175"/>
        <item x="158"/>
        <item x="116"/>
        <item x="132"/>
        <item x="223"/>
        <item x="24"/>
        <item x="170"/>
        <item x="77"/>
        <item x="57"/>
        <item x="7"/>
        <item x="5"/>
        <item x="159"/>
        <item x="144"/>
        <item x="10"/>
        <item x="220"/>
        <item x="160"/>
        <item x="224"/>
        <item x="98"/>
        <item x="109"/>
        <item x="201"/>
        <item x="184"/>
        <item x="244"/>
        <item x="64"/>
        <item x="82"/>
        <item x="238"/>
        <item x="145"/>
        <item x="206"/>
        <item x="114"/>
        <item x="118"/>
        <item x="94"/>
        <item x="265"/>
        <item x="43"/>
        <item x="150"/>
        <item x="251"/>
        <item x="215"/>
        <item x="59"/>
        <item x="157"/>
        <item x="92"/>
        <item x="123"/>
        <item x="17"/>
        <item x="262"/>
        <item x="40"/>
        <item x="216"/>
        <item x="213"/>
        <item x="198"/>
        <item x="136"/>
        <item x="185"/>
        <item x="188"/>
        <item x="176"/>
        <item x="167"/>
        <item x="91"/>
        <item x="6"/>
        <item x="241"/>
        <item x="117"/>
        <item x="202"/>
        <item x="124"/>
        <item x="146"/>
        <item x="152"/>
        <item x="196"/>
        <item x="243"/>
        <item x="208"/>
        <item x="106"/>
        <item x="31"/>
        <item x="97"/>
        <item x="259"/>
        <item x="58"/>
        <item x="229"/>
        <item x="73"/>
        <item x="2"/>
        <item x="214"/>
        <item x="235"/>
        <item x="37"/>
        <item x="95"/>
        <item x="143"/>
        <item x="28"/>
        <item x="161"/>
        <item x="130"/>
        <item x="83"/>
        <item x="48"/>
        <item x="183"/>
        <item x="4"/>
        <item x="212"/>
        <item x="255"/>
        <item x="263"/>
        <item x="22"/>
        <item x="53"/>
        <item x="15"/>
        <item x="230"/>
        <item x="222"/>
        <item x="186"/>
        <item x="105"/>
        <item x="81"/>
        <item x="141"/>
        <item x="80"/>
        <item x="221"/>
        <item x="226"/>
        <item x="234"/>
        <item x="41"/>
        <item x="178"/>
        <item x="16"/>
        <item x="197"/>
        <item x="29"/>
        <item x="54"/>
        <item x="219"/>
        <item x="181"/>
        <item x="79"/>
        <item x="89"/>
        <item x="252"/>
        <item x="250"/>
        <item x="131"/>
        <item x="76"/>
        <item x="62"/>
        <item x="56"/>
        <item x="192"/>
        <item x="67"/>
        <item x="246"/>
        <item x="9"/>
        <item x="46"/>
        <item x="42"/>
        <item x="119"/>
        <item x="100"/>
        <item x="148"/>
        <item x="74"/>
        <item x="260"/>
        <item x="134"/>
        <item x="113"/>
        <item x="38"/>
        <item x="248"/>
        <item x="166"/>
        <item x="140"/>
        <item x="103"/>
        <item x="191"/>
        <item x="227"/>
        <item x="266"/>
        <item x="163"/>
        <item x="247"/>
        <item x="63"/>
        <item x="3"/>
        <item x="203"/>
        <item x="51"/>
        <item x="125"/>
        <item x="107"/>
        <item x="52"/>
        <item x="128"/>
        <item x="26"/>
        <item x="182"/>
        <item x="254"/>
        <item x="102"/>
        <item x="115"/>
        <item x="207"/>
        <item x="1"/>
        <item x="153"/>
        <item x="99"/>
        <item x="204"/>
        <item x="120"/>
        <item x="34"/>
        <item x="133"/>
        <item x="104"/>
        <item x="129"/>
        <item x="256"/>
        <item x="233"/>
        <item x="13"/>
        <item x="138"/>
        <item x="142"/>
        <item x="258"/>
        <item x="108"/>
        <item x="164"/>
        <item x="11"/>
        <item x="217"/>
        <item x="75"/>
        <item x="21"/>
        <item x="44"/>
        <item x="135"/>
        <item x="121"/>
        <item x="85"/>
        <item x="126"/>
        <item x="180"/>
        <item x="47"/>
        <item x="18"/>
        <item x="232"/>
        <item x="267"/>
        <item x="84"/>
        <item x="101"/>
        <item x="19"/>
        <item x="228"/>
        <item x="55"/>
        <item x="211"/>
        <item x="69"/>
        <item x="147"/>
        <item x="172"/>
        <item x="35"/>
        <item x="209"/>
        <item x="205"/>
        <item x="245"/>
        <item x="112"/>
        <item x="239"/>
        <item x="253"/>
        <item x="249"/>
        <item x="193"/>
        <item x="210"/>
        <item x="187"/>
        <item x="49"/>
        <item x="165"/>
        <item x="87"/>
        <item x="111"/>
        <item x="8"/>
        <item x="162"/>
        <item x="39"/>
        <item x="25"/>
        <item x="0"/>
        <item x="65"/>
        <item x="93"/>
        <item x="264"/>
        <item x="20"/>
        <item x="110"/>
        <item x="189"/>
        <item x="139"/>
        <item x="70"/>
        <item x="171"/>
        <item x="199"/>
        <item x="242"/>
        <item x="177"/>
        <item x="257"/>
        <item x="194"/>
        <item x="32"/>
        <item x="127"/>
        <item x="154"/>
        <item x="61"/>
        <item x="151"/>
        <item x="86"/>
        <item x="50"/>
        <item x="30"/>
        <item x="23"/>
        <item x="60"/>
        <item x="218"/>
        <item x="237"/>
        <item x="225"/>
        <item x="78"/>
        <item x="261"/>
        <item x="71"/>
        <item x="169"/>
        <item x="90"/>
        <item x="72"/>
        <item x="27"/>
        <item x="200"/>
        <item x="36"/>
        <item x="240"/>
        <item x="156"/>
        <item x="236"/>
        <item x="195"/>
        <item x="14"/>
        <item x="149"/>
        <item x="173"/>
        <item x="1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multipleItemSelectionAllowed="1" showAll="0">
      <items count="5">
        <item h="1" x="0"/>
        <item x="1"/>
        <item x="2"/>
        <item x="3"/>
        <item t="default"/>
      </items>
    </pivotField>
    <pivotField showAll="0" sortType="de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measureFilter="1" sortType="descending" sumSubtotal="1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2"/>
  </rowFields>
  <rowItems count="25">
    <i>
      <x v="170"/>
    </i>
    <i r="1">
      <x v="1"/>
    </i>
    <i r="1">
      <x v="2"/>
    </i>
    <i r="1">
      <x v="3"/>
    </i>
    <i>
      <x v="72"/>
    </i>
    <i r="1">
      <x v="1"/>
    </i>
    <i r="1">
      <x v="2"/>
    </i>
    <i r="1">
      <x v="3"/>
    </i>
    <i>
      <x v="181"/>
    </i>
    <i r="1">
      <x v="1"/>
    </i>
    <i r="1">
      <x v="2"/>
    </i>
    <i r="1">
      <x v="3"/>
    </i>
    <i>
      <x v="237"/>
    </i>
    <i r="1">
      <x v="1"/>
    </i>
    <i r="1">
      <x v="2"/>
    </i>
    <i r="1">
      <x v="3"/>
    </i>
    <i>
      <x v="11"/>
    </i>
    <i r="1">
      <x v="1"/>
    </i>
    <i r="1">
      <x v="2"/>
    </i>
    <i r="1">
      <x v="3"/>
    </i>
    <i>
      <x v="171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Wickets Taken" fld="20" baseField="1" baseItem="230"/>
  </dataFields>
  <formats count="1">
    <format dxfId="16">
      <pivotArea dataOnly="0" grandRow="1" fieldPosition="0"/>
    </format>
  </formats>
  <chartFormats count="3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3">
    <filter fld="1" type="count" evalOrder="-1" id="8" iMeasureFld="0">
      <autoFilter ref="A1">
        <filterColumn colId="0">
          <top10 val="5" filterVal="5"/>
        </filterColumn>
      </autoFilter>
    </filter>
    <filter fld="21" type="count" evalOrder="-1" id="3" iMeasureFld="0">
      <autoFilter ref="A1">
        <filterColumn colId="0">
          <top10 val="5" filterVal="5"/>
        </filterColumn>
      </autoFilter>
    </filter>
    <filter fld="17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E4F173-1F1E-466A-8ACB-31B6A696D3E9}" name="Table1" displayName="Table1" ref="A1:AE632" totalsRowShown="0">
  <autoFilter ref="A1:AE632" xr:uid="{0A328D66-961B-4AF6-9D11-20F391920596}"/>
  <tableColumns count="31">
    <tableColumn id="1" xr3:uid="{8AD85595-46D1-44E4-B402-8BD783EC83FA}" name="Team"/>
    <tableColumn id="2" xr3:uid="{02A3C2BA-8907-49AF-B879-AB6EDF142D3B}" name="Player"/>
    <tableColumn id="3" xr3:uid="{3C5128F8-2887-46F8-9B18-8C9AACEE8DFB}" name="Tournament"/>
    <tableColumn id="4" xr3:uid="{C6E62663-E0B0-4255-97D0-AB7C9EE27020}" name="Matches"/>
    <tableColumn id="5" xr3:uid="{EC68FE32-0B4A-450E-80B9-FEB2AC9E84B8}" name="Batting Innings"/>
    <tableColumn id="6" xr3:uid="{C4564024-B568-4E1E-9574-15FBABDF64C6}" name="Not Out"/>
    <tableColumn id="7" xr3:uid="{24C88566-C35E-4970-83DF-931A49828896}" name="Runds Scored"/>
    <tableColumn id="8" xr3:uid="{0720FDB3-58F7-4701-A3F6-9BE4743A5CE2}" name="Highest Score"/>
    <tableColumn id="9" xr3:uid="{FF7A257C-1AAE-4186-9F92-7E77DC8E240F}" name="Batting Average"/>
    <tableColumn id="10" xr3:uid="{A90A7022-D95F-4C27-9355-C6C884EC8BEE}" name="Balls Faced"/>
    <tableColumn id="11" xr3:uid="{0D4A4CAD-C030-4B44-9424-3B15089351BC}" name="Batting Strike Rate"/>
    <tableColumn id="12" xr3:uid="{ED720A94-1711-4DB5-BD9D-B068794F4705}" name="100"/>
    <tableColumn id="13" xr3:uid="{310D52CE-0538-4148-8EA0-80B5DD5C20EE}" name="50"/>
    <tableColumn id="14" xr3:uid="{9D22490B-15E5-48F5-A8C4-4DC1C2FB6DDC}" name="0"/>
    <tableColumn id="15" xr3:uid="{3D5BDDA2-14A1-4E97-8597-C886C6F12650}" name="4s"/>
    <tableColumn id="16" xr3:uid="{E6089EE5-F926-4A97-B7F8-EC9A7A452B52}" name="6s"/>
    <tableColumn id="17" xr3:uid="{E158CA9F-227E-40A4-BCE9-237EADE6552F}" name="Bowling Innings"/>
    <tableColumn id="18" xr3:uid="{06C914D2-8496-4287-8C4C-8364CE3BA5A2}" name="Overs Bowled"/>
    <tableColumn id="19" xr3:uid="{39C45FF0-11C3-4EC2-BC71-A6C3D84859EB}" name="Maidens Bowled"/>
    <tableColumn id="20" xr3:uid="{03E96A2B-19CA-47D4-9D0B-DD0E9536F507}" name="Runs Conceded"/>
    <tableColumn id="21" xr3:uid="{75589844-240C-47D0-8163-B4F99CC52FCF}" name="Wickets Taken"/>
    <tableColumn id="22" xr3:uid="{C1E35DE8-7E29-4749-A4A2-6A21F315246B}" name="Best Bowling Figures"/>
    <tableColumn id="23" xr3:uid="{F19BE3B1-40E1-4C20-B4AA-B3941EEA9E84}" name="Bowling Average"/>
    <tableColumn id="24" xr3:uid="{392EACB4-B7B3-45AF-8761-9D71D038F3D1}" name="Bowling Economy Rate"/>
    <tableColumn id="25" xr3:uid="{31071C94-913B-4948-86AF-986851E2FFBD}" name="Bowling Strike Rate"/>
    <tableColumn id="26" xr3:uid="{5A0F0331-DC3E-4C12-BC64-FBB5AB5F6C4E}" name="4+ Innings Wickets"/>
    <tableColumn id="27" xr3:uid="{5087234A-E851-4CFE-91D5-250EAA184BCD}" name="5+ Innings Wickets"/>
    <tableColumn id="28" xr3:uid="{392E96CD-4C6D-45D2-B854-E63EDFB3E296}" name="Catches Taken"/>
    <tableColumn id="29" xr3:uid="{CD53F722-7C5A-4987-AE30-2599444A4F2C}" name="Stumpings Made"/>
    <tableColumn id="30" xr3:uid="{94E424A5-AB75-468B-9B9F-A37B190D86A0}" name="Toss win" dataDxfId="0">
      <calculatedColumnFormula>RANDBETWEEN(3,18)</calculatedColumnFormula>
    </tableColumn>
    <tableColumn id="31" xr3:uid="{EF97EAEA-8E0C-4A46-B87A-A71070BF094C}" name="bowlng avg">
      <calculatedColumnFormula>AVERAGE(Table1[[#This Row],[Runs Conceded]]/Table1[[#This Row],[Wickets Taken]])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CF136-A031-4D45-9F51-1CD4230D2299}">
  <dimension ref="A2:KK69"/>
  <sheetViews>
    <sheetView topLeftCell="AK1" workbookViewId="0">
      <selection activeCell="J20" sqref="J20"/>
    </sheetView>
  </sheetViews>
  <sheetFormatPr defaultRowHeight="14.4" x14ac:dyDescent="0.3"/>
  <cols>
    <col min="1" max="1" width="12.5546875" bestFit="1" customWidth="1"/>
    <col min="2" max="2" width="14.77734375" bestFit="1" customWidth="1"/>
    <col min="11" max="11" width="24.33203125" bestFit="1" customWidth="1"/>
    <col min="12" max="12" width="19.109375" bestFit="1" customWidth="1"/>
    <col min="22" max="22" width="18.21875" bestFit="1" customWidth="1"/>
    <col min="23" max="23" width="11.77734375" bestFit="1" customWidth="1"/>
    <col min="24" max="24" width="14.44140625" bestFit="1" customWidth="1"/>
    <col min="25" max="25" width="12" bestFit="1" customWidth="1"/>
    <col min="26" max="26" width="14.109375" bestFit="1" customWidth="1"/>
    <col min="27" max="27" width="19" bestFit="1" customWidth="1"/>
    <col min="28" max="28" width="14.77734375" bestFit="1" customWidth="1"/>
    <col min="29" max="29" width="13.77734375" bestFit="1" customWidth="1"/>
    <col min="30" max="30" width="9.21875" bestFit="1" customWidth="1"/>
    <col min="31" max="34" width="21.109375" bestFit="1" customWidth="1"/>
    <col min="35" max="35" width="12.5546875" bestFit="1" customWidth="1"/>
    <col min="36" max="36" width="19" bestFit="1" customWidth="1"/>
    <col min="37" max="37" width="21.109375" bestFit="1" customWidth="1"/>
    <col min="38" max="39" width="24.33203125" bestFit="1" customWidth="1"/>
    <col min="40" max="40" width="16" bestFit="1" customWidth="1"/>
    <col min="41" max="42" width="13.33203125" bestFit="1" customWidth="1"/>
    <col min="43" max="43" width="19.77734375" bestFit="1" customWidth="1"/>
    <col min="44" max="44" width="15.77734375" bestFit="1" customWidth="1"/>
    <col min="45" max="45" width="8.6640625" bestFit="1" customWidth="1"/>
    <col min="46" max="46" width="8.44140625" bestFit="1" customWidth="1"/>
    <col min="47" max="47" width="10.21875" bestFit="1" customWidth="1"/>
    <col min="48" max="48" width="9.5546875" bestFit="1" customWidth="1"/>
    <col min="49" max="49" width="10.33203125" bestFit="1" customWidth="1"/>
    <col min="50" max="50" width="6.88671875" bestFit="1" customWidth="1"/>
    <col min="51" max="51" width="10.88671875" bestFit="1" customWidth="1"/>
    <col min="52" max="52" width="13.33203125" bestFit="1" customWidth="1"/>
    <col min="53" max="53" width="20.6640625" bestFit="1" customWidth="1"/>
    <col min="54" max="54" width="10.33203125" bestFit="1" customWidth="1"/>
    <col min="55" max="55" width="7.109375" bestFit="1" customWidth="1"/>
    <col min="56" max="56" width="6.6640625" bestFit="1" customWidth="1"/>
    <col min="57" max="57" width="11.5546875" bestFit="1" customWidth="1"/>
    <col min="58" max="58" width="12.109375" bestFit="1" customWidth="1"/>
    <col min="59" max="59" width="9.6640625" bestFit="1" customWidth="1"/>
    <col min="60" max="60" width="8.77734375" bestFit="1" customWidth="1"/>
    <col min="61" max="61" width="7.88671875" bestFit="1" customWidth="1"/>
    <col min="62" max="62" width="12.6640625" bestFit="1" customWidth="1"/>
    <col min="63" max="63" width="27.109375" bestFit="1" customWidth="1"/>
    <col min="64" max="64" width="11.109375" bestFit="1" customWidth="1"/>
    <col min="65" max="65" width="11.44140625" bestFit="1" customWidth="1"/>
    <col min="66" max="66" width="7.5546875" bestFit="1" customWidth="1"/>
    <col min="67" max="67" width="12.77734375" bestFit="1" customWidth="1"/>
    <col min="68" max="68" width="8.33203125" bestFit="1" customWidth="1"/>
    <col min="69" max="69" width="8.21875" bestFit="1" customWidth="1"/>
    <col min="70" max="70" width="7.44140625" bestFit="1" customWidth="1"/>
    <col min="71" max="71" width="9.77734375" bestFit="1" customWidth="1"/>
    <col min="72" max="72" width="17.33203125" bestFit="1" customWidth="1"/>
    <col min="73" max="73" width="19.109375" bestFit="1" customWidth="1"/>
    <col min="74" max="74" width="10.21875" bestFit="1" customWidth="1"/>
    <col min="75" max="75" width="9.109375" bestFit="1" customWidth="1"/>
    <col min="76" max="76" width="9.44140625" bestFit="1" customWidth="1"/>
    <col min="77" max="77" width="7" bestFit="1" customWidth="1"/>
    <col min="78" max="78" width="8.21875" bestFit="1" customWidth="1"/>
    <col min="79" max="79" width="8.88671875" bestFit="1" customWidth="1"/>
    <col min="80" max="80" width="8" bestFit="1" customWidth="1"/>
    <col min="81" max="81" width="8.44140625" bestFit="1" customWidth="1"/>
    <col min="82" max="82" width="8.6640625" bestFit="1" customWidth="1"/>
    <col min="83" max="83" width="8.33203125" bestFit="1" customWidth="1"/>
    <col min="84" max="84" width="9.21875" bestFit="1" customWidth="1"/>
    <col min="85" max="85" width="10.109375" bestFit="1" customWidth="1"/>
    <col min="86" max="86" width="10.6640625" bestFit="1" customWidth="1"/>
    <col min="87" max="87" width="8" bestFit="1" customWidth="1"/>
    <col min="88" max="88" width="10.44140625" bestFit="1" customWidth="1"/>
    <col min="89" max="89" width="11.77734375" bestFit="1" customWidth="1"/>
    <col min="90" max="90" width="14.33203125" bestFit="1" customWidth="1"/>
    <col min="91" max="91" width="11.21875" bestFit="1" customWidth="1"/>
    <col min="92" max="92" width="9.44140625" bestFit="1" customWidth="1"/>
    <col min="93" max="93" width="8.21875" bestFit="1" customWidth="1"/>
    <col min="94" max="94" width="9.109375" bestFit="1" customWidth="1"/>
    <col min="95" max="95" width="15.88671875" bestFit="1" customWidth="1"/>
    <col min="96" max="96" width="7" bestFit="1" customWidth="1"/>
    <col min="97" max="97" width="11.44140625" bestFit="1" customWidth="1"/>
    <col min="98" max="98" width="17.33203125" bestFit="1" customWidth="1"/>
    <col min="99" max="99" width="15.33203125" bestFit="1" customWidth="1"/>
    <col min="100" max="100" width="8.109375" bestFit="1" customWidth="1"/>
    <col min="101" max="101" width="10.6640625" bestFit="1" customWidth="1"/>
    <col min="102" max="102" width="10.44140625" bestFit="1" customWidth="1"/>
    <col min="103" max="103" width="15.5546875" bestFit="1" customWidth="1"/>
    <col min="104" max="104" width="6.33203125" bestFit="1" customWidth="1"/>
    <col min="105" max="105" width="9.5546875" bestFit="1" customWidth="1"/>
    <col min="106" max="106" width="10" bestFit="1" customWidth="1"/>
    <col min="107" max="107" width="11.88671875" bestFit="1" customWidth="1"/>
    <col min="108" max="108" width="15" bestFit="1" customWidth="1"/>
    <col min="109" max="109" width="8.109375" bestFit="1" customWidth="1"/>
    <col min="110" max="110" width="9.109375" bestFit="1" customWidth="1"/>
    <col min="111" max="111" width="17.77734375" bestFit="1" customWidth="1"/>
    <col min="112" max="112" width="12.77734375" bestFit="1" customWidth="1"/>
    <col min="113" max="113" width="9.5546875" bestFit="1" customWidth="1"/>
    <col min="114" max="114" width="16.88671875" bestFit="1" customWidth="1"/>
    <col min="115" max="115" width="9.77734375" bestFit="1" customWidth="1"/>
    <col min="116" max="116" width="7.44140625" bestFit="1" customWidth="1"/>
    <col min="117" max="117" width="9.33203125" bestFit="1" customWidth="1"/>
    <col min="118" max="118" width="17.6640625" bestFit="1" customWidth="1"/>
    <col min="119" max="119" width="11" bestFit="1" customWidth="1"/>
    <col min="120" max="120" width="8.44140625" bestFit="1" customWidth="1"/>
    <col min="121" max="121" width="10.77734375" bestFit="1" customWidth="1"/>
    <col min="122" max="122" width="8.109375" bestFit="1" customWidth="1"/>
    <col min="123" max="123" width="14.44140625" bestFit="1" customWidth="1"/>
    <col min="124" max="124" width="8.109375" bestFit="1" customWidth="1"/>
    <col min="125" max="125" width="7.33203125" bestFit="1" customWidth="1"/>
    <col min="126" max="126" width="6.109375" bestFit="1" customWidth="1"/>
    <col min="127" max="127" width="8" bestFit="1" customWidth="1"/>
    <col min="128" max="128" width="10.21875" bestFit="1" customWidth="1"/>
    <col min="129" max="129" width="10.6640625" bestFit="1" customWidth="1"/>
    <col min="130" max="130" width="16.21875" bestFit="1" customWidth="1"/>
    <col min="131" max="131" width="11.5546875" bestFit="1" customWidth="1"/>
    <col min="132" max="132" width="9.109375" bestFit="1" customWidth="1"/>
    <col min="133" max="133" width="12.6640625" bestFit="1" customWidth="1"/>
    <col min="134" max="134" width="7.109375" bestFit="1" customWidth="1"/>
    <col min="135" max="135" width="11.33203125" bestFit="1" customWidth="1"/>
    <col min="136" max="136" width="10.109375" bestFit="1" customWidth="1"/>
    <col min="137" max="137" width="15.6640625" bestFit="1" customWidth="1"/>
    <col min="138" max="138" width="10.5546875" bestFit="1" customWidth="1"/>
    <col min="139" max="139" width="13.5546875" bestFit="1" customWidth="1"/>
    <col min="140" max="140" width="8.6640625" bestFit="1" customWidth="1"/>
    <col min="141" max="141" width="10.5546875" bestFit="1" customWidth="1"/>
    <col min="142" max="142" width="9.5546875" bestFit="1" customWidth="1"/>
    <col min="143" max="143" width="9.33203125" bestFit="1" customWidth="1"/>
    <col min="144" max="144" width="9.6640625" bestFit="1" customWidth="1"/>
    <col min="145" max="145" width="8.88671875" bestFit="1" customWidth="1"/>
    <col min="146" max="146" width="8.21875" bestFit="1" customWidth="1"/>
    <col min="147" max="147" width="10.33203125" bestFit="1" customWidth="1"/>
    <col min="148" max="148" width="9.33203125" bestFit="1" customWidth="1"/>
    <col min="149" max="149" width="8.77734375" bestFit="1" customWidth="1"/>
    <col min="150" max="150" width="9.21875" bestFit="1" customWidth="1"/>
    <col min="151" max="151" width="9.5546875" bestFit="1" customWidth="1"/>
    <col min="152" max="152" width="9.21875" bestFit="1" customWidth="1"/>
    <col min="153" max="153" width="9.88671875" bestFit="1" customWidth="1"/>
    <col min="154" max="154" width="9.77734375" bestFit="1" customWidth="1"/>
    <col min="155" max="155" width="7.77734375" bestFit="1" customWidth="1"/>
    <col min="156" max="156" width="10.21875" bestFit="1" customWidth="1"/>
    <col min="157" max="157" width="6.33203125" bestFit="1" customWidth="1"/>
    <col min="158" max="158" width="10.77734375" bestFit="1" customWidth="1"/>
    <col min="159" max="296" width="21.109375" bestFit="1" customWidth="1"/>
    <col min="297" max="297" width="10.77734375" bestFit="1" customWidth="1"/>
  </cols>
  <sheetData>
    <row r="2" spans="1:297" x14ac:dyDescent="0.3">
      <c r="B2">
        <v>1</v>
      </c>
      <c r="J2">
        <v>2</v>
      </c>
      <c r="K2" s="3" t="s">
        <v>403</v>
      </c>
      <c r="L2" t="s">
        <v>406</v>
      </c>
      <c r="AC2" s="3" t="s">
        <v>403</v>
      </c>
      <c r="AD2" t="s">
        <v>408</v>
      </c>
    </row>
    <row r="3" spans="1:297" x14ac:dyDescent="0.3">
      <c r="A3" s="3" t="s">
        <v>403</v>
      </c>
      <c r="B3" t="s">
        <v>405</v>
      </c>
      <c r="K3" s="4" t="s">
        <v>291</v>
      </c>
      <c r="L3" s="5">
        <v>9756</v>
      </c>
      <c r="U3">
        <v>3</v>
      </c>
      <c r="V3" s="3" t="s">
        <v>403</v>
      </c>
      <c r="W3" t="s">
        <v>407</v>
      </c>
      <c r="AB3">
        <v>4</v>
      </c>
      <c r="AC3" s="4" t="s">
        <v>253</v>
      </c>
      <c r="AD3" s="5">
        <v>109</v>
      </c>
      <c r="AI3" s="3" t="s">
        <v>2</v>
      </c>
      <c r="AJ3" t="s">
        <v>413</v>
      </c>
      <c r="AN3">
        <v>6</v>
      </c>
      <c r="AO3" s="3" t="s">
        <v>403</v>
      </c>
      <c r="AP3" t="s">
        <v>410</v>
      </c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</row>
    <row r="4" spans="1:297" x14ac:dyDescent="0.3">
      <c r="A4" s="4" t="s">
        <v>294</v>
      </c>
      <c r="B4" s="5">
        <v>63</v>
      </c>
      <c r="K4" s="4" t="s">
        <v>211</v>
      </c>
      <c r="L4" s="5">
        <v>9522</v>
      </c>
      <c r="V4" s="4" t="s">
        <v>91</v>
      </c>
      <c r="W4" s="5">
        <v>79</v>
      </c>
      <c r="AC4" s="6" t="s">
        <v>28</v>
      </c>
      <c r="AD4" s="5">
        <v>37</v>
      </c>
      <c r="AO4" s="4" t="s">
        <v>364</v>
      </c>
      <c r="AP4" s="5">
        <v>500</v>
      </c>
    </row>
    <row r="5" spans="1:297" x14ac:dyDescent="0.3">
      <c r="A5" s="4" t="s">
        <v>320</v>
      </c>
      <c r="B5" s="5">
        <v>61</v>
      </c>
      <c r="K5" s="4" t="s">
        <v>161</v>
      </c>
      <c r="L5" s="5">
        <v>9494</v>
      </c>
      <c r="V5" s="4" t="s">
        <v>161</v>
      </c>
      <c r="W5" s="5">
        <v>74</v>
      </c>
      <c r="AC5" s="6" t="s">
        <v>30</v>
      </c>
      <c r="AD5" s="5">
        <v>16</v>
      </c>
      <c r="AI5" s="3" t="s">
        <v>403</v>
      </c>
      <c r="AJ5" t="s">
        <v>409</v>
      </c>
      <c r="AK5" s="3"/>
      <c r="AL5" s="3"/>
      <c r="AM5" s="3"/>
      <c r="AN5" s="3"/>
      <c r="AO5" s="6" t="s">
        <v>32</v>
      </c>
      <c r="AP5" s="5">
        <v>300</v>
      </c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</row>
    <row r="6" spans="1:297" x14ac:dyDescent="0.3">
      <c r="A6" s="4" t="s">
        <v>341</v>
      </c>
      <c r="B6" s="5">
        <v>61</v>
      </c>
      <c r="K6" s="4" t="s">
        <v>250</v>
      </c>
      <c r="L6" s="5">
        <v>8992</v>
      </c>
      <c r="V6" s="4" t="s">
        <v>211</v>
      </c>
      <c r="W6" s="5">
        <v>73</v>
      </c>
      <c r="AC6" s="6" t="s">
        <v>32</v>
      </c>
      <c r="AD6" s="5">
        <v>30</v>
      </c>
      <c r="AH6">
        <v>5</v>
      </c>
      <c r="AI6" s="4" t="s">
        <v>251</v>
      </c>
      <c r="AJ6" s="5">
        <v>277</v>
      </c>
      <c r="AO6" s="6" t="s">
        <v>92</v>
      </c>
      <c r="AP6" s="5">
        <v>200</v>
      </c>
    </row>
    <row r="7" spans="1:297" x14ac:dyDescent="0.3">
      <c r="A7" s="4" t="s">
        <v>213</v>
      </c>
      <c r="B7" s="5">
        <v>60</v>
      </c>
      <c r="K7" s="4" t="s">
        <v>91</v>
      </c>
      <c r="L7" s="5">
        <v>8600</v>
      </c>
      <c r="V7" s="4" t="s">
        <v>26</v>
      </c>
      <c r="W7" s="5">
        <v>59</v>
      </c>
      <c r="AC7" s="6" t="s">
        <v>92</v>
      </c>
      <c r="AD7" s="5">
        <v>26</v>
      </c>
      <c r="AI7" s="4" t="s">
        <v>222</v>
      </c>
      <c r="AJ7" s="5">
        <v>271</v>
      </c>
      <c r="AO7" s="4" t="s">
        <v>168</v>
      </c>
      <c r="AP7" s="5">
        <v>389.6</v>
      </c>
    </row>
    <row r="8" spans="1:297" x14ac:dyDescent="0.3">
      <c r="A8" s="4" t="s">
        <v>225</v>
      </c>
      <c r="B8" s="5">
        <v>60</v>
      </c>
      <c r="K8" s="4" t="s">
        <v>26</v>
      </c>
      <c r="L8" s="5">
        <v>6376</v>
      </c>
      <c r="V8" s="4" t="s">
        <v>376</v>
      </c>
      <c r="W8" s="5">
        <v>40</v>
      </c>
      <c r="AC8" s="4" t="s">
        <v>168</v>
      </c>
      <c r="AD8" s="5">
        <v>98</v>
      </c>
      <c r="AI8" s="4" t="s">
        <v>36</v>
      </c>
      <c r="AJ8" s="5">
        <v>242</v>
      </c>
      <c r="AO8" s="6" t="s">
        <v>32</v>
      </c>
      <c r="AP8" s="5">
        <v>184.79</v>
      </c>
    </row>
    <row r="9" spans="1:297" x14ac:dyDescent="0.3">
      <c r="A9" s="4" t="s">
        <v>192</v>
      </c>
      <c r="B9" s="5">
        <v>60</v>
      </c>
      <c r="K9" s="4" t="s">
        <v>365</v>
      </c>
      <c r="L9" s="5">
        <v>5044</v>
      </c>
      <c r="V9" s="4" t="s">
        <v>365</v>
      </c>
      <c r="W9" s="5">
        <v>39</v>
      </c>
      <c r="AC9" s="6" t="s">
        <v>28</v>
      </c>
      <c r="AD9" s="5">
        <v>15</v>
      </c>
      <c r="AI9" s="4" t="s">
        <v>213</v>
      </c>
      <c r="AJ9" s="5">
        <v>228</v>
      </c>
      <c r="AO9" s="6" t="s">
        <v>92</v>
      </c>
      <c r="AP9" s="5">
        <v>204.81</v>
      </c>
    </row>
    <row r="10" spans="1:297" x14ac:dyDescent="0.3">
      <c r="A10" s="4" t="s">
        <v>404</v>
      </c>
      <c r="B10" s="5">
        <v>365</v>
      </c>
      <c r="K10" s="4" t="s">
        <v>318</v>
      </c>
      <c r="L10" s="5">
        <v>4627</v>
      </c>
      <c r="V10" s="4" t="s">
        <v>404</v>
      </c>
      <c r="W10" s="5">
        <v>364</v>
      </c>
      <c r="AC10" s="6" t="s">
        <v>32</v>
      </c>
      <c r="AD10" s="5">
        <v>31</v>
      </c>
      <c r="AI10" s="4" t="s">
        <v>299</v>
      </c>
      <c r="AJ10" s="5">
        <v>223</v>
      </c>
      <c r="AO10" s="4" t="s">
        <v>381</v>
      </c>
      <c r="AP10" s="5">
        <v>361.89000000000004</v>
      </c>
    </row>
    <row r="11" spans="1:297" x14ac:dyDescent="0.3">
      <c r="K11" s="4" t="s">
        <v>376</v>
      </c>
      <c r="L11" s="5">
        <v>4379</v>
      </c>
      <c r="AC11" s="6" t="s">
        <v>92</v>
      </c>
      <c r="AD11" s="5">
        <v>52</v>
      </c>
      <c r="AI11" s="7" t="s">
        <v>404</v>
      </c>
      <c r="AJ11" s="8">
        <v>1241</v>
      </c>
      <c r="AO11" s="6" t="s">
        <v>32</v>
      </c>
      <c r="AP11" s="5">
        <v>95.23</v>
      </c>
    </row>
    <row r="12" spans="1:297" x14ac:dyDescent="0.3">
      <c r="K12" s="4" t="s">
        <v>393</v>
      </c>
      <c r="L12" s="5">
        <v>2418</v>
      </c>
      <c r="AC12" s="4" t="s">
        <v>130</v>
      </c>
      <c r="AD12" s="5">
        <v>96</v>
      </c>
      <c r="AO12" s="6" t="s">
        <v>92</v>
      </c>
      <c r="AP12" s="5">
        <v>266.66000000000003</v>
      </c>
    </row>
    <row r="13" spans="1:297" x14ac:dyDescent="0.3">
      <c r="K13" s="4" t="s">
        <v>358</v>
      </c>
      <c r="L13" s="5">
        <v>2370</v>
      </c>
      <c r="AC13" s="6" t="s">
        <v>28</v>
      </c>
      <c r="AD13" s="5">
        <v>21</v>
      </c>
      <c r="AO13" s="4" t="s">
        <v>182</v>
      </c>
      <c r="AP13" s="5">
        <v>356.15999999999997</v>
      </c>
    </row>
    <row r="14" spans="1:297" x14ac:dyDescent="0.3">
      <c r="K14" s="4" t="s">
        <v>338</v>
      </c>
      <c r="L14" s="5">
        <v>1962</v>
      </c>
      <c r="AC14" s="6" t="s">
        <v>30</v>
      </c>
      <c r="AD14" s="5">
        <v>14</v>
      </c>
      <c r="AO14" s="6" t="s">
        <v>32</v>
      </c>
      <c r="AP14" s="5">
        <v>189.89</v>
      </c>
    </row>
    <row r="15" spans="1:297" x14ac:dyDescent="0.3">
      <c r="K15" s="4" t="s">
        <v>404</v>
      </c>
      <c r="L15" s="5">
        <v>73540</v>
      </c>
      <c r="AC15" s="6" t="s">
        <v>32</v>
      </c>
      <c r="AD15" s="5">
        <v>27</v>
      </c>
      <c r="AO15" s="6" t="s">
        <v>92</v>
      </c>
      <c r="AP15" s="5">
        <v>166.27</v>
      </c>
    </row>
    <row r="16" spans="1:297" x14ac:dyDescent="0.3">
      <c r="AC16" s="6" t="s">
        <v>92</v>
      </c>
      <c r="AD16" s="5">
        <v>34</v>
      </c>
      <c r="AO16" s="4" t="s">
        <v>308</v>
      </c>
      <c r="AP16" s="5">
        <v>338.14</v>
      </c>
    </row>
    <row r="17" spans="29:48" x14ac:dyDescent="0.3">
      <c r="AC17" s="4" t="s">
        <v>43</v>
      </c>
      <c r="AD17" s="5">
        <v>94</v>
      </c>
      <c r="AO17" s="6" t="s">
        <v>32</v>
      </c>
      <c r="AP17" s="5">
        <v>190.32</v>
      </c>
    </row>
    <row r="18" spans="29:48" x14ac:dyDescent="0.3">
      <c r="AC18" s="6" t="s">
        <v>28</v>
      </c>
      <c r="AD18" s="5">
        <v>6</v>
      </c>
      <c r="AO18" s="6" t="s">
        <v>92</v>
      </c>
      <c r="AP18" s="5">
        <v>147.82</v>
      </c>
    </row>
    <row r="19" spans="29:48" x14ac:dyDescent="0.3">
      <c r="AC19" s="6" t="s">
        <v>30</v>
      </c>
      <c r="AD19" s="5">
        <v>24</v>
      </c>
      <c r="AO19" s="7" t="s">
        <v>404</v>
      </c>
      <c r="AP19" s="8">
        <v>1945.79</v>
      </c>
    </row>
    <row r="20" spans="29:48" x14ac:dyDescent="0.3">
      <c r="AC20" s="6" t="s">
        <v>32</v>
      </c>
      <c r="AD20" s="5">
        <v>37</v>
      </c>
    </row>
    <row r="21" spans="29:48" x14ac:dyDescent="0.3">
      <c r="AC21" s="6" t="s">
        <v>92</v>
      </c>
      <c r="AD21" s="5">
        <v>27</v>
      </c>
    </row>
    <row r="22" spans="29:48" x14ac:dyDescent="0.3">
      <c r="AC22" s="4" t="s">
        <v>341</v>
      </c>
      <c r="AD22" s="5">
        <v>83</v>
      </c>
    </row>
    <row r="23" spans="29:48" x14ac:dyDescent="0.3">
      <c r="AC23" s="6" t="s">
        <v>28</v>
      </c>
      <c r="AD23" s="5">
        <v>14</v>
      </c>
      <c r="AL23">
        <v>7</v>
      </c>
      <c r="AM23" s="3" t="s">
        <v>403</v>
      </c>
      <c r="AN23" t="s">
        <v>412</v>
      </c>
      <c r="AP23" s="3"/>
      <c r="AQ23" s="3"/>
      <c r="AR23" s="3"/>
      <c r="AS23" s="3"/>
      <c r="AT23" s="3"/>
      <c r="AU23" s="3"/>
      <c r="AV23" s="3"/>
    </row>
    <row r="24" spans="29:48" x14ac:dyDescent="0.3">
      <c r="AC24" s="6" t="s">
        <v>30</v>
      </c>
      <c r="AD24" s="5">
        <v>16</v>
      </c>
      <c r="AM24" s="4" t="s">
        <v>250</v>
      </c>
      <c r="AN24" s="5">
        <v>84</v>
      </c>
    </row>
    <row r="25" spans="29:48" x14ac:dyDescent="0.3">
      <c r="AC25" s="6" t="s">
        <v>32</v>
      </c>
      <c r="AD25" s="5">
        <v>30</v>
      </c>
      <c r="AM25" s="4" t="s">
        <v>91</v>
      </c>
      <c r="AN25" s="5">
        <v>79</v>
      </c>
    </row>
    <row r="26" spans="29:48" x14ac:dyDescent="0.3">
      <c r="AC26" s="6" t="s">
        <v>92</v>
      </c>
      <c r="AD26" s="5">
        <v>23</v>
      </c>
      <c r="AM26" s="4" t="s">
        <v>291</v>
      </c>
      <c r="AN26" s="5">
        <v>77</v>
      </c>
    </row>
    <row r="27" spans="29:48" x14ac:dyDescent="0.3">
      <c r="AC27" s="4" t="s">
        <v>251</v>
      </c>
      <c r="AD27" s="5">
        <v>80</v>
      </c>
      <c r="AM27" s="4" t="s">
        <v>161</v>
      </c>
      <c r="AN27" s="5">
        <v>74</v>
      </c>
    </row>
    <row r="28" spans="29:48" x14ac:dyDescent="0.3">
      <c r="AC28" s="6" t="s">
        <v>28</v>
      </c>
      <c r="AD28" s="5">
        <v>38</v>
      </c>
      <c r="AM28" s="4" t="s">
        <v>211</v>
      </c>
      <c r="AN28" s="5">
        <v>73</v>
      </c>
    </row>
    <row r="29" spans="29:48" x14ac:dyDescent="0.3">
      <c r="AC29" s="6" t="s">
        <v>30</v>
      </c>
      <c r="AD29" s="5">
        <v>11</v>
      </c>
      <c r="AM29" s="7" t="s">
        <v>404</v>
      </c>
      <c r="AN29" s="8">
        <v>387</v>
      </c>
    </row>
    <row r="30" spans="29:48" x14ac:dyDescent="0.3">
      <c r="AC30" s="6" t="s">
        <v>32</v>
      </c>
      <c r="AD30" s="5">
        <v>18</v>
      </c>
      <c r="AL30">
        <v>8</v>
      </c>
    </row>
    <row r="31" spans="29:48" x14ac:dyDescent="0.3">
      <c r="AC31" s="6" t="s">
        <v>92</v>
      </c>
      <c r="AD31" s="5">
        <v>13</v>
      </c>
      <c r="AL31" s="3" t="s">
        <v>403</v>
      </c>
      <c r="AM31" t="s">
        <v>414</v>
      </c>
      <c r="AP31" s="3"/>
      <c r="AQ31" s="3"/>
      <c r="AR31" s="3"/>
      <c r="AS31" s="3"/>
      <c r="AT31" s="3"/>
      <c r="AU31" s="3"/>
      <c r="AV31" s="3"/>
    </row>
    <row r="32" spans="29:48" x14ac:dyDescent="0.3">
      <c r="AC32" s="4" t="s">
        <v>404</v>
      </c>
      <c r="AD32" s="5">
        <v>560</v>
      </c>
      <c r="AL32" s="4" t="s">
        <v>365</v>
      </c>
      <c r="AM32" s="5">
        <v>39</v>
      </c>
    </row>
    <row r="33" spans="38:158" x14ac:dyDescent="0.3">
      <c r="AL33" s="4" t="s">
        <v>393</v>
      </c>
      <c r="AM33" s="5">
        <v>20</v>
      </c>
    </row>
    <row r="34" spans="38:158" x14ac:dyDescent="0.3">
      <c r="AL34" s="4" t="s">
        <v>26</v>
      </c>
      <c r="AM34" s="5">
        <v>59</v>
      </c>
    </row>
    <row r="35" spans="38:158" x14ac:dyDescent="0.3">
      <c r="AL35" s="4" t="s">
        <v>318</v>
      </c>
      <c r="AM35" s="5">
        <v>43</v>
      </c>
    </row>
    <row r="36" spans="38:158" x14ac:dyDescent="0.3">
      <c r="AL36" s="4" t="s">
        <v>91</v>
      </c>
      <c r="AM36" s="5">
        <v>79</v>
      </c>
    </row>
    <row r="37" spans="38:158" x14ac:dyDescent="0.3">
      <c r="AL37" s="4" t="s">
        <v>161</v>
      </c>
      <c r="AM37" s="5">
        <v>74</v>
      </c>
    </row>
    <row r="38" spans="38:158" x14ac:dyDescent="0.3">
      <c r="AL38" s="4" t="s">
        <v>211</v>
      </c>
      <c r="AM38" s="5">
        <v>73</v>
      </c>
    </row>
    <row r="39" spans="38:158" x14ac:dyDescent="0.3">
      <c r="AL39" s="4" t="s">
        <v>376</v>
      </c>
      <c r="AM39" s="5">
        <v>40</v>
      </c>
    </row>
    <row r="40" spans="38:158" x14ac:dyDescent="0.3">
      <c r="AL40" s="4" t="s">
        <v>358</v>
      </c>
      <c r="AM40" s="5">
        <v>20</v>
      </c>
      <c r="AO40">
        <v>9</v>
      </c>
      <c r="AP40" s="3" t="s">
        <v>415</v>
      </c>
      <c r="AQ40" t="s">
        <v>416</v>
      </c>
      <c r="AY40">
        <v>10</v>
      </c>
      <c r="AZ40" s="3" t="s">
        <v>415</v>
      </c>
      <c r="BA40" t="s">
        <v>417</v>
      </c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</row>
    <row r="41" spans="38:158" x14ac:dyDescent="0.3">
      <c r="AL41" s="4" t="s">
        <v>338</v>
      </c>
      <c r="AM41" s="5">
        <v>23</v>
      </c>
      <c r="AP41" s="4" t="s">
        <v>225</v>
      </c>
      <c r="AQ41" s="5">
        <v>56</v>
      </c>
      <c r="AZ41" s="4" t="s">
        <v>182</v>
      </c>
      <c r="BA41" s="5">
        <v>1226</v>
      </c>
    </row>
    <row r="42" spans="38:158" x14ac:dyDescent="0.3">
      <c r="AL42" s="4" t="s">
        <v>250</v>
      </c>
      <c r="AM42" s="5">
        <v>84</v>
      </c>
      <c r="AP42" s="6" t="s">
        <v>30</v>
      </c>
      <c r="AQ42" s="5">
        <v>20</v>
      </c>
      <c r="AZ42" s="6" t="s">
        <v>30</v>
      </c>
      <c r="BA42" s="5">
        <v>412</v>
      </c>
      <c r="BI42">
        <v>11</v>
      </c>
      <c r="BJ42" s="3" t="s">
        <v>415</v>
      </c>
      <c r="BK42" t="s">
        <v>418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</row>
    <row r="43" spans="38:158" x14ac:dyDescent="0.3">
      <c r="AL43" s="4" t="s">
        <v>291</v>
      </c>
      <c r="AM43" s="5">
        <v>77</v>
      </c>
      <c r="AP43" s="6" t="s">
        <v>32</v>
      </c>
      <c r="AQ43" s="5">
        <v>17</v>
      </c>
      <c r="AZ43" s="6" t="s">
        <v>32</v>
      </c>
      <c r="BA43" s="5">
        <v>467</v>
      </c>
      <c r="BJ43" s="4" t="s">
        <v>137</v>
      </c>
      <c r="BK43" s="5">
        <v>37.65</v>
      </c>
      <c r="BS43">
        <v>12</v>
      </c>
      <c r="BT43" s="3" t="s">
        <v>415</v>
      </c>
      <c r="BU43" t="s">
        <v>421</v>
      </c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</row>
    <row r="44" spans="38:158" x14ac:dyDescent="0.3">
      <c r="AL44" s="7" t="s">
        <v>404</v>
      </c>
      <c r="AM44" s="8">
        <v>631</v>
      </c>
      <c r="AP44" s="6" t="s">
        <v>92</v>
      </c>
      <c r="AQ44" s="5">
        <v>19</v>
      </c>
      <c r="AZ44" s="6" t="s">
        <v>92</v>
      </c>
      <c r="BA44" s="5">
        <v>347</v>
      </c>
      <c r="BJ44" s="6" t="s">
        <v>30</v>
      </c>
      <c r="BK44" s="5">
        <v>14.5</v>
      </c>
      <c r="BT44" s="4" t="s">
        <v>225</v>
      </c>
      <c r="BU44" s="11">
        <v>226.6</v>
      </c>
    </row>
    <row r="45" spans="38:158" x14ac:dyDescent="0.3">
      <c r="AP45" s="4" t="s">
        <v>308</v>
      </c>
      <c r="AQ45" s="5">
        <v>55</v>
      </c>
      <c r="AZ45" s="4" t="s">
        <v>225</v>
      </c>
      <c r="BA45" s="5">
        <v>1221</v>
      </c>
      <c r="BJ45" s="6" t="s">
        <v>32</v>
      </c>
      <c r="BK45" s="5">
        <v>10.4</v>
      </c>
      <c r="BT45" s="6" t="s">
        <v>28</v>
      </c>
      <c r="BU45" s="5">
        <v>52</v>
      </c>
    </row>
    <row r="46" spans="38:158" x14ac:dyDescent="0.3">
      <c r="AP46" s="6" t="s">
        <v>30</v>
      </c>
      <c r="AQ46" s="5">
        <v>17</v>
      </c>
      <c r="AZ46" s="6" t="s">
        <v>30</v>
      </c>
      <c r="BA46" s="5">
        <v>440</v>
      </c>
      <c r="BJ46" s="6" t="s">
        <v>92</v>
      </c>
      <c r="BK46" s="5">
        <v>12.75</v>
      </c>
      <c r="BT46" s="6" t="s">
        <v>30</v>
      </c>
      <c r="BU46" s="5">
        <v>59.2</v>
      </c>
    </row>
    <row r="47" spans="38:158" x14ac:dyDescent="0.3">
      <c r="AP47" s="6" t="s">
        <v>32</v>
      </c>
      <c r="AQ47" s="5">
        <v>21</v>
      </c>
      <c r="AZ47" s="6" t="s">
        <v>32</v>
      </c>
      <c r="BA47" s="5">
        <v>372</v>
      </c>
      <c r="BJ47" s="4" t="s">
        <v>233</v>
      </c>
      <c r="BK47" s="5">
        <v>33.090000000000003</v>
      </c>
      <c r="BT47" s="6" t="s">
        <v>32</v>
      </c>
      <c r="BU47" s="5">
        <v>54</v>
      </c>
    </row>
    <row r="48" spans="38:158" x14ac:dyDescent="0.3">
      <c r="AP48" s="6" t="s">
        <v>92</v>
      </c>
      <c r="AQ48" s="5">
        <v>17</v>
      </c>
      <c r="AZ48" s="6" t="s">
        <v>92</v>
      </c>
      <c r="BA48" s="5">
        <v>409</v>
      </c>
      <c r="BJ48" s="6" t="s">
        <v>30</v>
      </c>
      <c r="BK48" s="5">
        <v>9.7100000000000009</v>
      </c>
      <c r="BT48" s="6" t="s">
        <v>92</v>
      </c>
      <c r="BU48" s="11">
        <v>61.4</v>
      </c>
    </row>
    <row r="49" spans="42:78" x14ac:dyDescent="0.3">
      <c r="AP49" s="4" t="s">
        <v>50</v>
      </c>
      <c r="AQ49" s="5">
        <v>50</v>
      </c>
      <c r="AZ49" s="4" t="s">
        <v>188</v>
      </c>
      <c r="BA49" s="5">
        <v>1206</v>
      </c>
      <c r="BJ49" s="6" t="s">
        <v>32</v>
      </c>
      <c r="BK49" s="5">
        <v>9.8800000000000008</v>
      </c>
      <c r="BT49" s="4" t="s">
        <v>304</v>
      </c>
      <c r="BU49" s="11">
        <v>223.3</v>
      </c>
    </row>
    <row r="50" spans="42:78" x14ac:dyDescent="0.3">
      <c r="AP50" s="6" t="s">
        <v>30</v>
      </c>
      <c r="AQ50" s="5">
        <v>18</v>
      </c>
      <c r="AZ50" s="6" t="s">
        <v>30</v>
      </c>
      <c r="BA50" s="5">
        <v>322</v>
      </c>
      <c r="BJ50" s="6" t="s">
        <v>92</v>
      </c>
      <c r="BK50" s="5">
        <v>13.5</v>
      </c>
      <c r="BT50" s="6" t="s">
        <v>28</v>
      </c>
      <c r="BU50" s="5">
        <v>66</v>
      </c>
    </row>
    <row r="51" spans="42:78" x14ac:dyDescent="0.3">
      <c r="AP51" s="6" t="s">
        <v>32</v>
      </c>
      <c r="AQ51" s="5">
        <v>6</v>
      </c>
      <c r="AZ51" s="6" t="s">
        <v>32</v>
      </c>
      <c r="BA51" s="5">
        <v>486</v>
      </c>
      <c r="BJ51" s="4" t="s">
        <v>224</v>
      </c>
      <c r="BK51" s="5">
        <v>31.71</v>
      </c>
      <c r="BT51" s="6" t="s">
        <v>30</v>
      </c>
      <c r="BU51" s="5">
        <v>52.2</v>
      </c>
    </row>
    <row r="52" spans="42:78" x14ac:dyDescent="0.3">
      <c r="AP52" s="6" t="s">
        <v>92</v>
      </c>
      <c r="AQ52" s="5">
        <v>26</v>
      </c>
      <c r="AZ52" s="6" t="s">
        <v>92</v>
      </c>
      <c r="BA52" s="5">
        <v>398</v>
      </c>
      <c r="BJ52" s="6" t="s">
        <v>30</v>
      </c>
      <c r="BK52" s="5">
        <v>9.6</v>
      </c>
      <c r="BT52" s="6" t="s">
        <v>32</v>
      </c>
      <c r="BU52" s="5">
        <v>46.1</v>
      </c>
    </row>
    <row r="53" spans="42:78" x14ac:dyDescent="0.3">
      <c r="AP53" s="4" t="s">
        <v>304</v>
      </c>
      <c r="AQ53" s="5">
        <v>48</v>
      </c>
      <c r="AZ53" s="4" t="s">
        <v>180</v>
      </c>
      <c r="BA53" s="5">
        <v>1199</v>
      </c>
      <c r="BJ53" s="6" t="s">
        <v>32</v>
      </c>
      <c r="BK53" s="5">
        <v>9</v>
      </c>
      <c r="BT53" s="6" t="s">
        <v>92</v>
      </c>
      <c r="BU53" s="5">
        <v>59</v>
      </c>
    </row>
    <row r="54" spans="42:78" x14ac:dyDescent="0.3">
      <c r="AP54" s="6" t="s">
        <v>30</v>
      </c>
      <c r="AQ54" s="5">
        <v>26</v>
      </c>
      <c r="AZ54" s="6" t="s">
        <v>30</v>
      </c>
      <c r="BA54" s="5">
        <v>410</v>
      </c>
      <c r="BJ54" s="6" t="s">
        <v>92</v>
      </c>
      <c r="BK54" s="5">
        <v>13.11</v>
      </c>
      <c r="BT54" s="4" t="s">
        <v>182</v>
      </c>
      <c r="BU54" s="11">
        <v>206.60000000000002</v>
      </c>
    </row>
    <row r="55" spans="42:78" x14ac:dyDescent="0.3">
      <c r="AP55" s="6" t="s">
        <v>32</v>
      </c>
      <c r="AQ55" s="5">
        <v>9</v>
      </c>
      <c r="AZ55" s="6" t="s">
        <v>32</v>
      </c>
      <c r="BA55" s="5">
        <v>418</v>
      </c>
      <c r="BJ55" s="4" t="s">
        <v>261</v>
      </c>
      <c r="BK55" s="5">
        <v>31.11</v>
      </c>
      <c r="BT55" s="6" t="s">
        <v>28</v>
      </c>
      <c r="BU55" s="5">
        <v>42.4</v>
      </c>
    </row>
    <row r="56" spans="42:78" x14ac:dyDescent="0.3">
      <c r="AP56" s="6" t="s">
        <v>92</v>
      </c>
      <c r="AQ56" s="5">
        <v>13</v>
      </c>
      <c r="AZ56" s="6" t="s">
        <v>92</v>
      </c>
      <c r="BA56" s="5">
        <v>371</v>
      </c>
      <c r="BJ56" s="6" t="s">
        <v>30</v>
      </c>
      <c r="BK56" s="5">
        <v>8.33</v>
      </c>
      <c r="BT56" s="6" t="s">
        <v>30</v>
      </c>
      <c r="BU56" s="5">
        <v>59</v>
      </c>
    </row>
    <row r="57" spans="42:78" x14ac:dyDescent="0.3">
      <c r="AP57" s="4" t="s">
        <v>180</v>
      </c>
      <c r="AQ57" s="5">
        <v>45</v>
      </c>
      <c r="AZ57" s="4" t="s">
        <v>308</v>
      </c>
      <c r="BA57" s="5">
        <v>1193</v>
      </c>
      <c r="BD57" s="9"/>
      <c r="BE57" t="s">
        <v>419</v>
      </c>
      <c r="BJ57" s="6" t="s">
        <v>32</v>
      </c>
      <c r="BK57" s="5">
        <v>16.5</v>
      </c>
      <c r="BT57" s="6" t="s">
        <v>32</v>
      </c>
      <c r="BU57" s="5">
        <v>61</v>
      </c>
    </row>
    <row r="58" spans="42:78" x14ac:dyDescent="0.3">
      <c r="AP58" s="6" t="s">
        <v>30</v>
      </c>
      <c r="AQ58" s="5">
        <v>17</v>
      </c>
      <c r="AZ58" s="6" t="s">
        <v>30</v>
      </c>
      <c r="BA58" s="5">
        <v>358</v>
      </c>
      <c r="BD58" s="10"/>
      <c r="BE58" t="s">
        <v>419</v>
      </c>
      <c r="BJ58" s="6" t="s">
        <v>92</v>
      </c>
      <c r="BK58" s="5">
        <v>6.28</v>
      </c>
      <c r="BT58" s="6" t="s">
        <v>92</v>
      </c>
      <c r="BU58" s="11">
        <v>44.2</v>
      </c>
    </row>
    <row r="59" spans="42:78" x14ac:dyDescent="0.3">
      <c r="AP59" s="6" t="s">
        <v>32</v>
      </c>
      <c r="AQ59" s="5">
        <v>20</v>
      </c>
      <c r="AZ59" s="6" t="s">
        <v>32</v>
      </c>
      <c r="BA59" s="5">
        <v>458</v>
      </c>
      <c r="BJ59" s="4" t="s">
        <v>93</v>
      </c>
      <c r="BK59" s="5">
        <v>30.07</v>
      </c>
      <c r="BT59" s="4" t="s">
        <v>271</v>
      </c>
      <c r="BU59" s="11">
        <v>191.60000000000002</v>
      </c>
      <c r="BX59" s="9"/>
      <c r="BZ59" t="s">
        <v>422</v>
      </c>
    </row>
    <row r="60" spans="42:78" x14ac:dyDescent="0.3">
      <c r="AP60" s="6" t="s">
        <v>92</v>
      </c>
      <c r="AQ60" s="5">
        <v>8</v>
      </c>
      <c r="AZ60" s="6" t="s">
        <v>92</v>
      </c>
      <c r="BA60" s="5">
        <v>377</v>
      </c>
      <c r="BJ60" s="6" t="s">
        <v>30</v>
      </c>
      <c r="BK60" s="5">
        <v>10.47</v>
      </c>
      <c r="BT60" s="6" t="s">
        <v>28</v>
      </c>
      <c r="BU60" s="5">
        <v>49.1</v>
      </c>
      <c r="BX60" s="12"/>
      <c r="BZ60" s="13" t="s">
        <v>423</v>
      </c>
    </row>
    <row r="61" spans="42:78" x14ac:dyDescent="0.3">
      <c r="AP61" s="4" t="s">
        <v>188</v>
      </c>
      <c r="AQ61" s="5">
        <v>45</v>
      </c>
      <c r="AZ61" s="7" t="s">
        <v>404</v>
      </c>
      <c r="BA61" s="8">
        <v>6045</v>
      </c>
      <c r="BJ61" s="6" t="s">
        <v>32</v>
      </c>
      <c r="BK61" s="5">
        <v>10.9</v>
      </c>
      <c r="BT61" s="6" t="s">
        <v>30</v>
      </c>
      <c r="BU61" s="5">
        <v>43.3</v>
      </c>
      <c r="BX61" s="14"/>
      <c r="BZ61" s="13" t="s">
        <v>424</v>
      </c>
    </row>
    <row r="62" spans="42:78" x14ac:dyDescent="0.3">
      <c r="AP62" s="6" t="s">
        <v>30</v>
      </c>
      <c r="AQ62" s="5">
        <v>24</v>
      </c>
      <c r="BJ62" s="6" t="s">
        <v>92</v>
      </c>
      <c r="BK62" s="5">
        <v>8.6999999999999993</v>
      </c>
      <c r="BT62" s="6" t="s">
        <v>32</v>
      </c>
      <c r="BU62" s="5">
        <v>50</v>
      </c>
      <c r="BX62" s="15"/>
      <c r="BZ62" s="13" t="s">
        <v>425</v>
      </c>
    </row>
    <row r="63" spans="42:78" x14ac:dyDescent="0.3">
      <c r="AP63" s="6" t="s">
        <v>32</v>
      </c>
      <c r="AQ63" s="5">
        <v>11</v>
      </c>
      <c r="BJ63" s="7" t="s">
        <v>404</v>
      </c>
      <c r="BK63" s="8">
        <v>163.63000000000002</v>
      </c>
      <c r="BT63" s="6" t="s">
        <v>92</v>
      </c>
      <c r="BU63" s="5">
        <v>49.2</v>
      </c>
      <c r="BX63" s="16"/>
      <c r="BZ63" s="13" t="s">
        <v>426</v>
      </c>
    </row>
    <row r="64" spans="42:78" x14ac:dyDescent="0.3">
      <c r="AP64" s="6" t="s">
        <v>92</v>
      </c>
      <c r="AQ64" s="5">
        <v>10</v>
      </c>
      <c r="BT64" s="4" t="s">
        <v>120</v>
      </c>
      <c r="BU64" s="11">
        <v>184.4</v>
      </c>
    </row>
    <row r="65" spans="42:73" x14ac:dyDescent="0.3">
      <c r="AP65" s="7" t="s">
        <v>404</v>
      </c>
      <c r="AQ65" s="8">
        <v>299</v>
      </c>
      <c r="BT65" s="6" t="s">
        <v>28</v>
      </c>
      <c r="BU65" s="5">
        <v>50</v>
      </c>
    </row>
    <row r="66" spans="42:73" x14ac:dyDescent="0.3">
      <c r="BT66" s="6" t="s">
        <v>30</v>
      </c>
      <c r="BU66" s="5">
        <v>48</v>
      </c>
    </row>
    <row r="67" spans="42:73" x14ac:dyDescent="0.3">
      <c r="BT67" s="6" t="s">
        <v>32</v>
      </c>
      <c r="BU67" s="5">
        <v>44</v>
      </c>
    </row>
    <row r="68" spans="42:73" x14ac:dyDescent="0.3">
      <c r="BT68" s="6" t="s">
        <v>92</v>
      </c>
      <c r="BU68" s="11">
        <v>42.4</v>
      </c>
    </row>
    <row r="69" spans="42:73" x14ac:dyDescent="0.3">
      <c r="BT69" s="7" t="s">
        <v>404</v>
      </c>
      <c r="BU69" s="8">
        <v>1032.5</v>
      </c>
    </row>
  </sheetData>
  <pageMargins left="0.7" right="0.7" top="0.75" bottom="0.75" header="0.3" footer="0.3"/>
  <pageSetup orientation="portrait" r:id="rId13"/>
  <drawing r:id="rId1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B09A4-3441-48B3-8471-833FD5D23B78}">
  <dimension ref="A1"/>
  <sheetViews>
    <sheetView showGridLines="0" workbookViewId="0">
      <selection activeCell="H14" sqref="H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3A6B0-8613-4F9F-94AB-1DF03016414D}">
  <dimension ref="A1"/>
  <sheetViews>
    <sheetView showGridLines="0" workbookViewId="0">
      <selection activeCell="J16" sqref="J1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5E20-A99F-42B9-B6E1-3C58426C2ABB}">
  <dimension ref="A1"/>
  <sheetViews>
    <sheetView tabSelected="1" zoomScale="61" zoomScaleNormal="61" workbookViewId="0">
      <selection activeCell="AF33" sqref="AF3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D092F-DF5C-46E6-8DCB-6BF71EC1C5E7}">
  <dimension ref="A1"/>
  <sheetViews>
    <sheetView showGridLines="0" workbookViewId="0">
      <selection activeCell="J22" sqref="J2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29673-9B31-4D90-BD4B-04D9063B2BBE}">
  <dimension ref="A1"/>
  <sheetViews>
    <sheetView showGridLines="0" workbookViewId="0">
      <selection activeCell="I20" sqref="I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632"/>
  <sheetViews>
    <sheetView topLeftCell="T1" workbookViewId="0">
      <selection activeCell="AE13" sqref="AE13"/>
    </sheetView>
  </sheetViews>
  <sheetFormatPr defaultRowHeight="14.4" x14ac:dyDescent="0.3"/>
  <cols>
    <col min="3" max="3" width="12.88671875" customWidth="1"/>
    <col min="4" max="4" width="9.88671875" customWidth="1"/>
    <col min="5" max="5" width="14.77734375" customWidth="1"/>
    <col min="6" max="6" width="9.44140625" customWidth="1"/>
    <col min="7" max="7" width="13.77734375" customWidth="1"/>
    <col min="8" max="8" width="13.88671875" customWidth="1"/>
    <col min="9" max="9" width="15.6640625" customWidth="1"/>
    <col min="10" max="10" width="11.88671875" customWidth="1"/>
    <col min="11" max="11" width="17.88671875" customWidth="1"/>
    <col min="17" max="17" width="15.44140625" customWidth="1"/>
    <col min="18" max="18" width="14.109375" customWidth="1"/>
    <col min="19" max="19" width="16.33203125" customWidth="1"/>
    <col min="20" max="20" width="15.33203125" customWidth="1"/>
    <col min="21" max="21" width="14.6640625" customWidth="1"/>
    <col min="22" max="22" width="19.44140625" customWidth="1"/>
    <col min="23" max="23" width="16.33203125" customWidth="1"/>
    <col min="24" max="24" width="21.5546875" customWidth="1"/>
    <col min="25" max="25" width="18.5546875" customWidth="1"/>
    <col min="26" max="27" width="17.88671875" customWidth="1"/>
    <col min="28" max="28" width="14.6640625" customWidth="1"/>
    <col min="29" max="29" width="16.21875" customWidth="1"/>
  </cols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400</v>
      </c>
      <c r="M1" t="s">
        <v>401</v>
      </c>
      <c r="N1" t="s">
        <v>402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411</v>
      </c>
      <c r="AE1" t="s">
        <v>420</v>
      </c>
    </row>
    <row r="2" spans="1:31" x14ac:dyDescent="0.3">
      <c r="A2" t="s">
        <v>26</v>
      </c>
      <c r="B2" t="s">
        <v>27</v>
      </c>
      <c r="C2" t="s">
        <v>28</v>
      </c>
      <c r="D2">
        <v>12</v>
      </c>
      <c r="E2">
        <v>7</v>
      </c>
      <c r="F2">
        <v>4</v>
      </c>
      <c r="G2">
        <v>195</v>
      </c>
      <c r="H2" t="s">
        <v>29</v>
      </c>
      <c r="I2">
        <v>65</v>
      </c>
      <c r="J2">
        <v>109</v>
      </c>
      <c r="K2">
        <v>178.89</v>
      </c>
      <c r="L2">
        <v>0</v>
      </c>
      <c r="M2">
        <v>1</v>
      </c>
      <c r="N2">
        <v>1</v>
      </c>
      <c r="O2">
        <v>15</v>
      </c>
      <c r="P2">
        <v>12</v>
      </c>
      <c r="Q2">
        <v>12</v>
      </c>
      <c r="R2">
        <v>44</v>
      </c>
      <c r="S2">
        <v>0</v>
      </c>
      <c r="T2">
        <v>308</v>
      </c>
      <c r="U2">
        <v>13</v>
      </c>
      <c r="V2" s="1">
        <v>10990</v>
      </c>
      <c r="W2">
        <v>23.69</v>
      </c>
      <c r="X2">
        <v>7</v>
      </c>
      <c r="Y2">
        <v>20.3</v>
      </c>
      <c r="Z2">
        <v>0</v>
      </c>
      <c r="AA2">
        <v>0</v>
      </c>
      <c r="AB2">
        <v>8</v>
      </c>
      <c r="AC2">
        <v>0</v>
      </c>
      <c r="AD2">
        <f ca="1">RANDBETWEEN(3,18)</f>
        <v>13</v>
      </c>
      <c r="AE2">
        <f>AVERAGE(Table1[[#This Row],[Runs Conceded]]/Table1[[#This Row],[Wickets Taken]])</f>
        <v>23.692307692307693</v>
      </c>
    </row>
    <row r="3" spans="1:31" x14ac:dyDescent="0.3">
      <c r="A3" t="s">
        <v>26</v>
      </c>
      <c r="B3" t="s">
        <v>27</v>
      </c>
      <c r="C3" t="s">
        <v>30</v>
      </c>
      <c r="D3">
        <v>9</v>
      </c>
      <c r="E3">
        <v>9</v>
      </c>
      <c r="F3">
        <v>4</v>
      </c>
      <c r="G3">
        <v>154</v>
      </c>
      <c r="H3" t="s">
        <v>31</v>
      </c>
      <c r="I3">
        <v>30.8</v>
      </c>
      <c r="J3">
        <v>94</v>
      </c>
      <c r="K3">
        <v>163.82</v>
      </c>
      <c r="L3">
        <v>0</v>
      </c>
      <c r="M3">
        <v>1</v>
      </c>
      <c r="N3">
        <v>0</v>
      </c>
      <c r="O3">
        <v>15</v>
      </c>
      <c r="P3">
        <v>6</v>
      </c>
      <c r="Q3">
        <v>9</v>
      </c>
      <c r="R3">
        <v>31</v>
      </c>
      <c r="S3">
        <v>0</v>
      </c>
      <c r="T3">
        <v>240</v>
      </c>
      <c r="U3">
        <v>12</v>
      </c>
      <c r="V3" s="1">
        <v>46113</v>
      </c>
      <c r="W3">
        <v>20</v>
      </c>
      <c r="X3">
        <v>7.74</v>
      </c>
      <c r="Y3">
        <v>15.5</v>
      </c>
      <c r="Z3">
        <v>1</v>
      </c>
      <c r="AA3">
        <v>0</v>
      </c>
      <c r="AB3">
        <v>5</v>
      </c>
      <c r="AC3">
        <v>0</v>
      </c>
      <c r="AD3">
        <f t="shared" ref="AD3:AD65" ca="1" si="0">RANDBETWEEN(3,18)</f>
        <v>5</v>
      </c>
      <c r="AE3">
        <f>AVERAGE(Table1[[#This Row],[Runs Conceded]]/Table1[[#This Row],[Wickets Taken]])</f>
        <v>20</v>
      </c>
    </row>
    <row r="4" spans="1:31" x14ac:dyDescent="0.3">
      <c r="A4" t="s">
        <v>26</v>
      </c>
      <c r="B4" t="s">
        <v>27</v>
      </c>
      <c r="C4" t="s">
        <v>32</v>
      </c>
      <c r="D4">
        <v>4</v>
      </c>
      <c r="E4">
        <v>4</v>
      </c>
      <c r="F4">
        <v>3</v>
      </c>
      <c r="G4">
        <v>46</v>
      </c>
      <c r="H4" t="s">
        <v>33</v>
      </c>
      <c r="I4">
        <v>46</v>
      </c>
      <c r="J4">
        <v>26</v>
      </c>
      <c r="K4">
        <v>176.92</v>
      </c>
      <c r="L4">
        <v>0</v>
      </c>
      <c r="M4">
        <v>0</v>
      </c>
      <c r="N4">
        <v>0</v>
      </c>
      <c r="O4">
        <v>3</v>
      </c>
      <c r="P4">
        <v>2</v>
      </c>
      <c r="Q4">
        <v>4</v>
      </c>
      <c r="R4">
        <v>14</v>
      </c>
      <c r="S4">
        <v>0</v>
      </c>
      <c r="T4">
        <v>143</v>
      </c>
      <c r="U4">
        <v>3</v>
      </c>
      <c r="V4" s="1">
        <v>15008</v>
      </c>
      <c r="W4">
        <v>47.66</v>
      </c>
      <c r="X4">
        <v>10.210000000000001</v>
      </c>
      <c r="Y4">
        <v>28</v>
      </c>
      <c r="Z4">
        <v>0</v>
      </c>
      <c r="AA4">
        <v>0</v>
      </c>
      <c r="AB4">
        <v>2</v>
      </c>
      <c r="AC4">
        <v>0</v>
      </c>
      <c r="AD4">
        <f t="shared" ca="1" si="0"/>
        <v>9</v>
      </c>
      <c r="AE4">
        <f>AVERAGE(Table1[[#This Row],[Runs Conceded]]/Table1[[#This Row],[Wickets Taken]])</f>
        <v>47.666666666666664</v>
      </c>
    </row>
    <row r="5" spans="1:31" x14ac:dyDescent="0.3">
      <c r="A5" t="s">
        <v>26</v>
      </c>
      <c r="B5" t="s">
        <v>34</v>
      </c>
      <c r="C5" t="s">
        <v>28</v>
      </c>
      <c r="D5">
        <v>10</v>
      </c>
      <c r="E5">
        <v>8</v>
      </c>
      <c r="F5">
        <v>3</v>
      </c>
      <c r="G5">
        <v>191</v>
      </c>
      <c r="H5" t="s">
        <v>35</v>
      </c>
      <c r="I5">
        <v>38.200000000000003</v>
      </c>
      <c r="J5">
        <v>156</v>
      </c>
      <c r="K5">
        <v>122.43</v>
      </c>
      <c r="L5">
        <v>0</v>
      </c>
      <c r="M5">
        <v>0</v>
      </c>
      <c r="N5">
        <v>0</v>
      </c>
      <c r="O5">
        <v>13</v>
      </c>
      <c r="P5">
        <v>3</v>
      </c>
      <c r="Q5">
        <v>5</v>
      </c>
      <c r="R5">
        <v>7</v>
      </c>
      <c r="S5">
        <v>0</v>
      </c>
      <c r="T5">
        <v>55</v>
      </c>
      <c r="U5">
        <v>2</v>
      </c>
      <c r="V5" s="2">
        <v>43922</v>
      </c>
      <c r="W5">
        <v>27.5</v>
      </c>
      <c r="X5">
        <v>7.85</v>
      </c>
      <c r="Y5">
        <v>21</v>
      </c>
      <c r="Z5">
        <v>0</v>
      </c>
      <c r="AA5">
        <v>0</v>
      </c>
      <c r="AB5">
        <v>3</v>
      </c>
      <c r="AC5">
        <v>0</v>
      </c>
      <c r="AD5">
        <f t="shared" ca="1" si="0"/>
        <v>11</v>
      </c>
      <c r="AE5">
        <f>AVERAGE(Table1[[#This Row],[Runs Conceded]]/Table1[[#This Row],[Wickets Taken]])</f>
        <v>27.5</v>
      </c>
    </row>
    <row r="6" spans="1:31" x14ac:dyDescent="0.3">
      <c r="A6" t="s">
        <v>26</v>
      </c>
      <c r="B6" t="s">
        <v>36</v>
      </c>
      <c r="C6" t="s">
        <v>28</v>
      </c>
      <c r="D6">
        <v>13</v>
      </c>
      <c r="E6">
        <v>13</v>
      </c>
      <c r="F6">
        <v>1</v>
      </c>
      <c r="G6">
        <v>445</v>
      </c>
      <c r="H6">
        <v>108</v>
      </c>
      <c r="I6">
        <v>37.08</v>
      </c>
      <c r="J6">
        <v>327</v>
      </c>
      <c r="K6">
        <v>136.08000000000001</v>
      </c>
      <c r="L6">
        <v>1</v>
      </c>
      <c r="M6">
        <v>3</v>
      </c>
      <c r="N6">
        <v>0</v>
      </c>
      <c r="O6">
        <v>52</v>
      </c>
      <c r="P6">
        <v>13</v>
      </c>
      <c r="Q6" t="s">
        <v>37</v>
      </c>
      <c r="R6" t="s">
        <v>37</v>
      </c>
      <c r="S6" t="s">
        <v>37</v>
      </c>
      <c r="T6" t="s">
        <v>37</v>
      </c>
      <c r="U6" t="s">
        <v>37</v>
      </c>
      <c r="V6" t="s">
        <v>37</v>
      </c>
      <c r="W6" t="s">
        <v>37</v>
      </c>
      <c r="X6" t="s">
        <v>37</v>
      </c>
      <c r="Y6" t="s">
        <v>37</v>
      </c>
      <c r="Z6" t="s">
        <v>37</v>
      </c>
      <c r="AA6" t="s">
        <v>37</v>
      </c>
      <c r="AB6">
        <v>2</v>
      </c>
      <c r="AC6">
        <v>2</v>
      </c>
      <c r="AD6">
        <f t="shared" ca="1" si="0"/>
        <v>11</v>
      </c>
      <c r="AE6" t="e">
        <f>AVERAGE(Table1[[#This Row],[Runs Conceded]]/Table1[[#This Row],[Wickets Taken]])</f>
        <v>#VALUE!</v>
      </c>
    </row>
    <row r="7" spans="1:31" x14ac:dyDescent="0.3">
      <c r="A7" t="s">
        <v>26</v>
      </c>
      <c r="B7" t="s">
        <v>38</v>
      </c>
      <c r="C7" t="s">
        <v>28</v>
      </c>
      <c r="D7">
        <v>14</v>
      </c>
      <c r="E7">
        <v>12</v>
      </c>
      <c r="F7">
        <v>2</v>
      </c>
      <c r="G7">
        <v>357</v>
      </c>
      <c r="H7" t="s">
        <v>39</v>
      </c>
      <c r="I7">
        <v>35.700000000000003</v>
      </c>
      <c r="J7">
        <v>297</v>
      </c>
      <c r="K7">
        <v>120.2</v>
      </c>
      <c r="L7">
        <v>0</v>
      </c>
      <c r="M7">
        <v>3</v>
      </c>
      <c r="N7">
        <v>0</v>
      </c>
      <c r="O7">
        <v>40</v>
      </c>
      <c r="P7">
        <v>6</v>
      </c>
      <c r="Q7" t="s">
        <v>37</v>
      </c>
      <c r="R7" t="s">
        <v>37</v>
      </c>
      <c r="S7" t="s">
        <v>37</v>
      </c>
      <c r="T7" t="s">
        <v>37</v>
      </c>
      <c r="U7" t="s">
        <v>37</v>
      </c>
      <c r="V7" t="s">
        <v>37</v>
      </c>
      <c r="W7" t="s">
        <v>37</v>
      </c>
      <c r="X7" t="s">
        <v>37</v>
      </c>
      <c r="Y7" t="s">
        <v>37</v>
      </c>
      <c r="Z7" t="s">
        <v>37</v>
      </c>
      <c r="AA7" t="s">
        <v>37</v>
      </c>
      <c r="AB7">
        <v>3</v>
      </c>
      <c r="AC7">
        <v>0</v>
      </c>
      <c r="AD7">
        <f t="shared" ca="1" si="0"/>
        <v>5</v>
      </c>
      <c r="AE7" t="e">
        <f>AVERAGE(Table1[[#This Row],[Runs Conceded]]/Table1[[#This Row],[Wickets Taken]])</f>
        <v>#VALUE!</v>
      </c>
    </row>
    <row r="8" spans="1:31" x14ac:dyDescent="0.3">
      <c r="A8" t="s">
        <v>26</v>
      </c>
      <c r="B8" t="s">
        <v>38</v>
      </c>
      <c r="C8" t="s">
        <v>30</v>
      </c>
      <c r="D8">
        <v>14</v>
      </c>
      <c r="E8">
        <v>13</v>
      </c>
      <c r="F8">
        <v>0</v>
      </c>
      <c r="G8">
        <v>281</v>
      </c>
      <c r="H8">
        <v>64</v>
      </c>
      <c r="I8">
        <v>21.61</v>
      </c>
      <c r="J8">
        <v>226</v>
      </c>
      <c r="K8">
        <v>124.33</v>
      </c>
      <c r="L8">
        <v>0</v>
      </c>
      <c r="M8">
        <v>1</v>
      </c>
      <c r="N8">
        <v>1</v>
      </c>
      <c r="O8">
        <v>39</v>
      </c>
      <c r="P8">
        <v>6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>
        <v>2</v>
      </c>
      <c r="AC8">
        <v>0</v>
      </c>
      <c r="AD8">
        <f t="shared" ca="1" si="0"/>
        <v>9</v>
      </c>
      <c r="AE8" t="e">
        <f>AVERAGE(Table1[[#This Row],[Runs Conceded]]/Table1[[#This Row],[Wickets Taken]])</f>
        <v>#VALUE!</v>
      </c>
    </row>
    <row r="9" spans="1:31" x14ac:dyDescent="0.3">
      <c r="A9" t="s">
        <v>26</v>
      </c>
      <c r="B9" t="s">
        <v>40</v>
      </c>
      <c r="C9" t="s">
        <v>28</v>
      </c>
      <c r="D9">
        <v>8</v>
      </c>
      <c r="E9">
        <v>6</v>
      </c>
      <c r="F9">
        <v>4</v>
      </c>
      <c r="G9">
        <v>57</v>
      </c>
      <c r="H9" t="s">
        <v>41</v>
      </c>
      <c r="I9">
        <v>28.5</v>
      </c>
      <c r="J9">
        <v>59</v>
      </c>
      <c r="K9">
        <v>96.61</v>
      </c>
      <c r="L9">
        <v>0</v>
      </c>
      <c r="M9">
        <v>0</v>
      </c>
      <c r="N9">
        <v>0</v>
      </c>
      <c r="O9">
        <v>2</v>
      </c>
      <c r="P9">
        <v>3</v>
      </c>
      <c r="Q9">
        <v>5</v>
      </c>
      <c r="R9">
        <v>9</v>
      </c>
      <c r="S9">
        <v>0</v>
      </c>
      <c r="T9">
        <v>84</v>
      </c>
      <c r="U9">
        <v>1</v>
      </c>
      <c r="V9" s="1">
        <v>43466</v>
      </c>
      <c r="W9">
        <v>84</v>
      </c>
      <c r="X9">
        <v>9.33</v>
      </c>
      <c r="Y9">
        <v>54</v>
      </c>
      <c r="Z9">
        <v>0</v>
      </c>
      <c r="AA9">
        <v>0</v>
      </c>
      <c r="AB9">
        <v>2</v>
      </c>
      <c r="AC9">
        <v>0</v>
      </c>
      <c r="AD9">
        <f t="shared" ca="1" si="0"/>
        <v>5</v>
      </c>
      <c r="AE9">
        <f>AVERAGE(Table1[[#This Row],[Runs Conceded]]/Table1[[#This Row],[Wickets Taken]])</f>
        <v>84</v>
      </c>
    </row>
    <row r="10" spans="1:31" x14ac:dyDescent="0.3">
      <c r="A10" t="s">
        <v>26</v>
      </c>
      <c r="B10" t="s">
        <v>42</v>
      </c>
      <c r="C10" t="s">
        <v>28</v>
      </c>
      <c r="D10">
        <v>14</v>
      </c>
      <c r="E10">
        <v>14</v>
      </c>
      <c r="F10">
        <v>3</v>
      </c>
      <c r="G10">
        <v>291</v>
      </c>
      <c r="H10">
        <v>60</v>
      </c>
      <c r="I10">
        <v>26.45</v>
      </c>
      <c r="J10">
        <v>259</v>
      </c>
      <c r="K10">
        <v>112.35</v>
      </c>
      <c r="L10">
        <v>0</v>
      </c>
      <c r="M10">
        <v>1</v>
      </c>
      <c r="N10">
        <v>0</v>
      </c>
      <c r="O10">
        <v>20</v>
      </c>
      <c r="P10">
        <v>8</v>
      </c>
      <c r="Q10" t="s">
        <v>37</v>
      </c>
      <c r="R10" t="s">
        <v>37</v>
      </c>
      <c r="S10" t="s">
        <v>37</v>
      </c>
      <c r="T10" t="s">
        <v>37</v>
      </c>
      <c r="U10" t="s">
        <v>37</v>
      </c>
      <c r="V10" t="s">
        <v>37</v>
      </c>
      <c r="W10" t="s">
        <v>37</v>
      </c>
      <c r="X10" t="s">
        <v>37</v>
      </c>
      <c r="Y10" t="s">
        <v>37</v>
      </c>
      <c r="Z10" t="s">
        <v>37</v>
      </c>
      <c r="AA10" t="s">
        <v>37</v>
      </c>
      <c r="AB10">
        <v>3</v>
      </c>
      <c r="AC10">
        <v>1</v>
      </c>
      <c r="AD10">
        <f t="shared" ca="1" si="0"/>
        <v>4</v>
      </c>
      <c r="AE10" t="e">
        <f>AVERAGE(Table1[[#This Row],[Runs Conceded]]/Table1[[#This Row],[Wickets Taken]])</f>
        <v>#VALUE!</v>
      </c>
    </row>
    <row r="11" spans="1:31" x14ac:dyDescent="0.3">
      <c r="A11" t="s">
        <v>26</v>
      </c>
      <c r="B11" t="s">
        <v>42</v>
      </c>
      <c r="C11" t="s">
        <v>30</v>
      </c>
      <c r="D11">
        <v>14</v>
      </c>
      <c r="E11">
        <v>14</v>
      </c>
      <c r="F11">
        <v>0</v>
      </c>
      <c r="G11">
        <v>386</v>
      </c>
      <c r="H11">
        <v>102</v>
      </c>
      <c r="I11">
        <v>27.57</v>
      </c>
      <c r="J11">
        <v>273</v>
      </c>
      <c r="K11">
        <v>141.38999999999999</v>
      </c>
      <c r="L11">
        <v>1</v>
      </c>
      <c r="M11">
        <v>2</v>
      </c>
      <c r="N11">
        <v>2</v>
      </c>
      <c r="O11">
        <v>32</v>
      </c>
      <c r="P11">
        <v>19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>
        <v>4</v>
      </c>
      <c r="AC11">
        <v>0</v>
      </c>
      <c r="AD11">
        <f t="shared" ca="1" si="0"/>
        <v>17</v>
      </c>
      <c r="AE11" t="e">
        <f>AVERAGE(Table1[[#This Row],[Runs Conceded]]/Table1[[#This Row],[Wickets Taken]])</f>
        <v>#VALUE!</v>
      </c>
    </row>
    <row r="12" spans="1:31" x14ac:dyDescent="0.3">
      <c r="A12" t="s">
        <v>26</v>
      </c>
      <c r="B12" t="s">
        <v>43</v>
      </c>
      <c r="C12" t="s">
        <v>28</v>
      </c>
      <c r="D12">
        <v>10</v>
      </c>
      <c r="E12">
        <v>10</v>
      </c>
      <c r="F12">
        <v>2</v>
      </c>
      <c r="G12">
        <v>198</v>
      </c>
      <c r="H12">
        <v>69</v>
      </c>
      <c r="I12">
        <v>24.75</v>
      </c>
      <c r="J12">
        <v>152</v>
      </c>
      <c r="K12">
        <v>130.26</v>
      </c>
      <c r="L12">
        <v>0</v>
      </c>
      <c r="M12">
        <v>1</v>
      </c>
      <c r="N12">
        <v>0</v>
      </c>
      <c r="O12">
        <v>19</v>
      </c>
      <c r="P12">
        <v>6</v>
      </c>
      <c r="Q12" t="s">
        <v>37</v>
      </c>
      <c r="R12" t="s">
        <v>37</v>
      </c>
      <c r="S12" t="s">
        <v>37</v>
      </c>
      <c r="T12" t="s">
        <v>37</v>
      </c>
      <c r="U12" t="s">
        <v>37</v>
      </c>
      <c r="V12" t="s">
        <v>37</v>
      </c>
      <c r="W12" t="s">
        <v>37</v>
      </c>
      <c r="X12" t="s">
        <v>37</v>
      </c>
      <c r="Y12" t="s">
        <v>37</v>
      </c>
      <c r="Z12" t="s">
        <v>37</v>
      </c>
      <c r="AA12" t="s">
        <v>37</v>
      </c>
      <c r="AB12">
        <v>3</v>
      </c>
      <c r="AC12">
        <v>0</v>
      </c>
      <c r="AD12">
        <f t="shared" ca="1" si="0"/>
        <v>13</v>
      </c>
      <c r="AE12" t="e">
        <f>AVERAGE(Table1[[#This Row],[Runs Conceded]]/Table1[[#This Row],[Wickets Taken]])</f>
        <v>#VALUE!</v>
      </c>
    </row>
    <row r="13" spans="1:31" x14ac:dyDescent="0.3">
      <c r="A13" t="s">
        <v>26</v>
      </c>
      <c r="B13" t="s">
        <v>43</v>
      </c>
      <c r="C13" t="s">
        <v>30</v>
      </c>
      <c r="D13">
        <v>14</v>
      </c>
      <c r="E13">
        <v>14</v>
      </c>
      <c r="F13">
        <v>0</v>
      </c>
      <c r="G13">
        <v>366</v>
      </c>
      <c r="H13">
        <v>97</v>
      </c>
      <c r="I13">
        <v>26.14</v>
      </c>
      <c r="J13">
        <v>221</v>
      </c>
      <c r="K13">
        <v>165.61</v>
      </c>
      <c r="L13">
        <v>0</v>
      </c>
      <c r="M13">
        <v>2</v>
      </c>
      <c r="N13">
        <v>3</v>
      </c>
      <c r="O13">
        <v>28</v>
      </c>
      <c r="P13">
        <v>24</v>
      </c>
      <c r="Q13" t="s">
        <v>37</v>
      </c>
      <c r="R13" t="s">
        <v>37</v>
      </c>
      <c r="S13" t="s">
        <v>37</v>
      </c>
      <c r="T13" t="s">
        <v>37</v>
      </c>
      <c r="U13" t="s">
        <v>37</v>
      </c>
      <c r="V13" t="s">
        <v>37</v>
      </c>
      <c r="W13" t="s">
        <v>37</v>
      </c>
      <c r="X13" t="s">
        <v>37</v>
      </c>
      <c r="Y13" t="s">
        <v>37</v>
      </c>
      <c r="Z13" t="s">
        <v>37</v>
      </c>
      <c r="AA13" t="s">
        <v>37</v>
      </c>
      <c r="AB13">
        <v>8</v>
      </c>
      <c r="AC13">
        <v>3</v>
      </c>
      <c r="AD13">
        <f t="shared" ca="1" si="0"/>
        <v>18</v>
      </c>
      <c r="AE13" t="e">
        <f>AVERAGE(Table1[[#This Row],[Runs Conceded]]/Table1[[#This Row],[Wickets Taken]])</f>
        <v>#VALUE!</v>
      </c>
    </row>
    <row r="14" spans="1:31" x14ac:dyDescent="0.3">
      <c r="A14" t="s">
        <v>26</v>
      </c>
      <c r="B14" t="s">
        <v>43</v>
      </c>
      <c r="C14" t="s">
        <v>32</v>
      </c>
      <c r="D14">
        <v>14</v>
      </c>
      <c r="E14">
        <v>14</v>
      </c>
      <c r="F14">
        <v>1</v>
      </c>
      <c r="G14">
        <v>684</v>
      </c>
      <c r="H14" t="s">
        <v>44</v>
      </c>
      <c r="I14">
        <v>52.61</v>
      </c>
      <c r="J14">
        <v>394</v>
      </c>
      <c r="K14">
        <v>173.6</v>
      </c>
      <c r="L14">
        <v>1</v>
      </c>
      <c r="M14">
        <v>5</v>
      </c>
      <c r="N14">
        <v>1</v>
      </c>
      <c r="O14">
        <v>68</v>
      </c>
      <c r="P14">
        <v>37</v>
      </c>
      <c r="Q14" t="s">
        <v>37</v>
      </c>
      <c r="R14" t="s">
        <v>37</v>
      </c>
      <c r="S14" t="s">
        <v>37</v>
      </c>
      <c r="T14" t="s">
        <v>37</v>
      </c>
      <c r="U14" t="s">
        <v>37</v>
      </c>
      <c r="V14" t="s">
        <v>37</v>
      </c>
      <c r="W14" t="s">
        <v>37</v>
      </c>
      <c r="X14" t="s">
        <v>37</v>
      </c>
      <c r="Y14" t="s">
        <v>37</v>
      </c>
      <c r="Z14" t="s">
        <v>37</v>
      </c>
      <c r="AA14" t="s">
        <v>37</v>
      </c>
      <c r="AB14">
        <v>4</v>
      </c>
      <c r="AC14">
        <v>2</v>
      </c>
      <c r="AD14">
        <f t="shared" ca="1" si="0"/>
        <v>6</v>
      </c>
      <c r="AE14" t="e">
        <f>AVERAGE(Table1[[#This Row],[Runs Conceded]]/Table1[[#This Row],[Wickets Taken]])</f>
        <v>#VALUE!</v>
      </c>
    </row>
    <row r="15" spans="1:31" x14ac:dyDescent="0.3">
      <c r="A15" t="s">
        <v>26</v>
      </c>
      <c r="B15" t="s">
        <v>45</v>
      </c>
      <c r="C15" t="s">
        <v>28</v>
      </c>
      <c r="D15">
        <v>5</v>
      </c>
      <c r="E15">
        <v>4</v>
      </c>
      <c r="F15">
        <v>0</v>
      </c>
      <c r="G15">
        <v>88</v>
      </c>
      <c r="H15">
        <v>54</v>
      </c>
      <c r="I15">
        <v>22</v>
      </c>
      <c r="J15">
        <v>64</v>
      </c>
      <c r="K15">
        <v>137.5</v>
      </c>
      <c r="L15">
        <v>0</v>
      </c>
      <c r="M15">
        <v>1</v>
      </c>
      <c r="N15">
        <v>0</v>
      </c>
      <c r="O15">
        <v>4</v>
      </c>
      <c r="P15">
        <v>4</v>
      </c>
      <c r="Q15" t="s">
        <v>37</v>
      </c>
      <c r="R15" t="s">
        <v>37</v>
      </c>
      <c r="S15" t="s">
        <v>37</v>
      </c>
      <c r="T15" t="s">
        <v>37</v>
      </c>
      <c r="U15" t="s">
        <v>37</v>
      </c>
      <c r="V15" t="s">
        <v>37</v>
      </c>
      <c r="W15" t="s">
        <v>37</v>
      </c>
      <c r="X15" t="s">
        <v>37</v>
      </c>
      <c r="Y15" t="s">
        <v>37</v>
      </c>
      <c r="Z15" t="s">
        <v>37</v>
      </c>
      <c r="AA15" t="s">
        <v>37</v>
      </c>
      <c r="AB15">
        <v>3</v>
      </c>
      <c r="AC15">
        <v>0</v>
      </c>
      <c r="AD15">
        <f t="shared" ca="1" si="0"/>
        <v>6</v>
      </c>
      <c r="AE15" t="e">
        <f>AVERAGE(Table1[[#This Row],[Runs Conceded]]/Table1[[#This Row],[Wickets Taken]])</f>
        <v>#VALUE!</v>
      </c>
    </row>
    <row r="16" spans="1:31" x14ac:dyDescent="0.3">
      <c r="A16" t="s">
        <v>26</v>
      </c>
      <c r="B16" t="s">
        <v>45</v>
      </c>
      <c r="C16" t="s">
        <v>30</v>
      </c>
      <c r="D16">
        <v>6</v>
      </c>
      <c r="E16">
        <v>6</v>
      </c>
      <c r="F16">
        <v>0</v>
      </c>
      <c r="G16">
        <v>138</v>
      </c>
      <c r="H16">
        <v>55</v>
      </c>
      <c r="I16">
        <v>23</v>
      </c>
      <c r="J16">
        <v>104</v>
      </c>
      <c r="K16">
        <v>132.69</v>
      </c>
      <c r="L16">
        <v>0</v>
      </c>
      <c r="M16">
        <v>1</v>
      </c>
      <c r="N16">
        <v>1</v>
      </c>
      <c r="O16">
        <v>19</v>
      </c>
      <c r="P16">
        <v>1</v>
      </c>
      <c r="Q16" t="s">
        <v>37</v>
      </c>
      <c r="R16" t="s">
        <v>37</v>
      </c>
      <c r="S16" t="s">
        <v>37</v>
      </c>
      <c r="T16" t="s">
        <v>37</v>
      </c>
      <c r="U16" t="s">
        <v>37</v>
      </c>
      <c r="V16" t="s">
        <v>37</v>
      </c>
      <c r="W16" t="s">
        <v>37</v>
      </c>
      <c r="X16" t="s">
        <v>37</v>
      </c>
      <c r="Y16" t="s">
        <v>37</v>
      </c>
      <c r="Z16" t="s">
        <v>37</v>
      </c>
      <c r="AA16" t="s">
        <v>37</v>
      </c>
      <c r="AB16">
        <v>4</v>
      </c>
      <c r="AC16">
        <v>0</v>
      </c>
      <c r="AD16">
        <f t="shared" ca="1" si="0"/>
        <v>13</v>
      </c>
      <c r="AE16" t="e">
        <f>AVERAGE(Table1[[#This Row],[Runs Conceded]]/Table1[[#This Row],[Wickets Taken]])</f>
        <v>#VALUE!</v>
      </c>
    </row>
    <row r="17" spans="1:31" x14ac:dyDescent="0.3">
      <c r="A17" t="s">
        <v>26</v>
      </c>
      <c r="B17" t="s">
        <v>46</v>
      </c>
      <c r="C17" t="s">
        <v>28</v>
      </c>
      <c r="D17">
        <v>8</v>
      </c>
      <c r="E17">
        <v>6</v>
      </c>
      <c r="F17">
        <v>0</v>
      </c>
      <c r="G17">
        <v>83</v>
      </c>
      <c r="H17">
        <v>34</v>
      </c>
      <c r="I17">
        <v>13.83</v>
      </c>
      <c r="J17">
        <v>38</v>
      </c>
      <c r="K17">
        <v>218.42</v>
      </c>
      <c r="L17">
        <v>0</v>
      </c>
      <c r="M17">
        <v>0</v>
      </c>
      <c r="N17">
        <v>0</v>
      </c>
      <c r="O17">
        <v>6</v>
      </c>
      <c r="P17">
        <v>8</v>
      </c>
      <c r="Q17">
        <v>8</v>
      </c>
      <c r="R17">
        <v>23.1</v>
      </c>
      <c r="S17">
        <v>0</v>
      </c>
      <c r="T17">
        <v>189</v>
      </c>
      <c r="U17">
        <v>7</v>
      </c>
      <c r="V17" s="1">
        <v>17227</v>
      </c>
      <c r="W17">
        <v>27</v>
      </c>
      <c r="X17">
        <v>8.15</v>
      </c>
      <c r="Y17">
        <v>19.8</v>
      </c>
      <c r="Z17">
        <v>0</v>
      </c>
      <c r="AA17">
        <v>0</v>
      </c>
      <c r="AB17">
        <v>3</v>
      </c>
      <c r="AC17">
        <v>0</v>
      </c>
      <c r="AD17">
        <f t="shared" ca="1" si="0"/>
        <v>9</v>
      </c>
      <c r="AE17">
        <f>AVERAGE(Table1[[#This Row],[Runs Conceded]]/Table1[[#This Row],[Wickets Taken]])</f>
        <v>27</v>
      </c>
    </row>
    <row r="18" spans="1:31" x14ac:dyDescent="0.3">
      <c r="A18" t="s">
        <v>26</v>
      </c>
      <c r="B18" t="s">
        <v>46</v>
      </c>
      <c r="C18" t="s">
        <v>30</v>
      </c>
      <c r="D18">
        <v>2</v>
      </c>
      <c r="E18">
        <v>2</v>
      </c>
      <c r="F18">
        <v>0</v>
      </c>
      <c r="G18">
        <v>12</v>
      </c>
      <c r="H18">
        <v>11</v>
      </c>
      <c r="I18">
        <v>6</v>
      </c>
      <c r="J18">
        <v>15</v>
      </c>
      <c r="K18">
        <v>80</v>
      </c>
      <c r="L18">
        <v>0</v>
      </c>
      <c r="M18">
        <v>0</v>
      </c>
      <c r="N18">
        <v>0</v>
      </c>
      <c r="O18">
        <v>2</v>
      </c>
      <c r="P18">
        <v>0</v>
      </c>
      <c r="Q18">
        <v>2</v>
      </c>
      <c r="R18">
        <v>6</v>
      </c>
      <c r="S18">
        <v>0</v>
      </c>
      <c r="T18">
        <v>67</v>
      </c>
      <c r="U18">
        <v>1</v>
      </c>
      <c r="V18" s="1">
        <v>13881</v>
      </c>
      <c r="W18">
        <v>67</v>
      </c>
      <c r="X18">
        <v>11.16</v>
      </c>
      <c r="Y18">
        <v>36</v>
      </c>
      <c r="Z18">
        <v>0</v>
      </c>
      <c r="AA18">
        <v>0</v>
      </c>
      <c r="AB18">
        <v>0</v>
      </c>
      <c r="AC18">
        <v>0</v>
      </c>
      <c r="AD18">
        <f t="shared" ca="1" si="0"/>
        <v>15</v>
      </c>
      <c r="AE18">
        <f>AVERAGE(Table1[[#This Row],[Runs Conceded]]/Table1[[#This Row],[Wickets Taken]])</f>
        <v>67</v>
      </c>
    </row>
    <row r="19" spans="1:31" x14ac:dyDescent="0.3">
      <c r="A19" t="s">
        <v>26</v>
      </c>
      <c r="B19" t="s">
        <v>47</v>
      </c>
      <c r="C19" t="s">
        <v>28</v>
      </c>
      <c r="D19">
        <v>3</v>
      </c>
      <c r="E19">
        <v>3</v>
      </c>
      <c r="F19">
        <v>0</v>
      </c>
      <c r="G19">
        <v>27</v>
      </c>
      <c r="H19">
        <v>10</v>
      </c>
      <c r="I19">
        <v>9</v>
      </c>
      <c r="J19">
        <v>25</v>
      </c>
      <c r="K19">
        <v>108</v>
      </c>
      <c r="L19">
        <v>0</v>
      </c>
      <c r="M19">
        <v>0</v>
      </c>
      <c r="N19">
        <v>0</v>
      </c>
      <c r="O19">
        <v>3</v>
      </c>
      <c r="P19">
        <v>1</v>
      </c>
      <c r="Q19" t="s">
        <v>37</v>
      </c>
      <c r="R19" t="s">
        <v>37</v>
      </c>
      <c r="S19" t="s">
        <v>37</v>
      </c>
      <c r="T19" t="s">
        <v>37</v>
      </c>
      <c r="U19" t="s">
        <v>37</v>
      </c>
      <c r="V19" t="s">
        <v>37</v>
      </c>
      <c r="W19" t="s">
        <v>37</v>
      </c>
      <c r="X19" t="s">
        <v>37</v>
      </c>
      <c r="Y19" t="s">
        <v>37</v>
      </c>
      <c r="Z19" t="s">
        <v>37</v>
      </c>
      <c r="AA19" t="s">
        <v>37</v>
      </c>
      <c r="AB19">
        <v>0</v>
      </c>
      <c r="AC19">
        <v>0</v>
      </c>
      <c r="AD19">
        <f t="shared" ca="1" si="0"/>
        <v>16</v>
      </c>
      <c r="AE19" t="e">
        <f>AVERAGE(Table1[[#This Row],[Runs Conceded]]/Table1[[#This Row],[Wickets Taken]])</f>
        <v>#VALUE!</v>
      </c>
    </row>
    <row r="20" spans="1:31" x14ac:dyDescent="0.3">
      <c r="A20" t="s">
        <v>26</v>
      </c>
      <c r="B20" t="s">
        <v>48</v>
      </c>
      <c r="C20" t="s">
        <v>28</v>
      </c>
      <c r="D20">
        <v>6</v>
      </c>
      <c r="E20">
        <v>6</v>
      </c>
      <c r="F20">
        <v>0</v>
      </c>
      <c r="G20">
        <v>30</v>
      </c>
      <c r="H20">
        <v>19</v>
      </c>
      <c r="I20">
        <v>5</v>
      </c>
      <c r="J20">
        <v>43</v>
      </c>
      <c r="K20">
        <v>69.760000000000005</v>
      </c>
      <c r="L20">
        <v>0</v>
      </c>
      <c r="M20">
        <v>0</v>
      </c>
      <c r="N20">
        <v>3</v>
      </c>
      <c r="O20">
        <v>2</v>
      </c>
      <c r="P20">
        <v>1</v>
      </c>
      <c r="Q20" t="s">
        <v>37</v>
      </c>
      <c r="R20" t="s">
        <v>37</v>
      </c>
      <c r="S20" t="s">
        <v>37</v>
      </c>
      <c r="T20" t="s">
        <v>37</v>
      </c>
      <c r="U20" t="s">
        <v>37</v>
      </c>
      <c r="V20" t="s">
        <v>37</v>
      </c>
      <c r="W20" t="s">
        <v>37</v>
      </c>
      <c r="X20" t="s">
        <v>37</v>
      </c>
      <c r="Y20" t="s">
        <v>37</v>
      </c>
      <c r="Z20" t="s">
        <v>37</v>
      </c>
      <c r="AA20" t="s">
        <v>37</v>
      </c>
      <c r="AB20">
        <v>4</v>
      </c>
      <c r="AC20">
        <v>0</v>
      </c>
      <c r="AD20">
        <f t="shared" ca="1" si="0"/>
        <v>8</v>
      </c>
      <c r="AE20" t="e">
        <f>AVERAGE(Table1[[#This Row],[Runs Conceded]]/Table1[[#This Row],[Wickets Taken]])</f>
        <v>#VALUE!</v>
      </c>
    </row>
    <row r="21" spans="1:31" x14ac:dyDescent="0.3">
      <c r="A21" t="s">
        <v>26</v>
      </c>
      <c r="B21" t="s">
        <v>48</v>
      </c>
      <c r="C21" t="s">
        <v>30</v>
      </c>
      <c r="D21">
        <v>12</v>
      </c>
      <c r="E21">
        <v>12</v>
      </c>
      <c r="F21">
        <v>2</v>
      </c>
      <c r="G21">
        <v>338</v>
      </c>
      <c r="H21">
        <v>96</v>
      </c>
      <c r="I21">
        <v>33.799999999999997</v>
      </c>
      <c r="J21">
        <v>243</v>
      </c>
      <c r="K21">
        <v>139.09</v>
      </c>
      <c r="L21">
        <v>0</v>
      </c>
      <c r="M21">
        <v>2</v>
      </c>
      <c r="N21">
        <v>0</v>
      </c>
      <c r="O21">
        <v>36</v>
      </c>
      <c r="P21">
        <v>10</v>
      </c>
      <c r="Q21" t="s">
        <v>37</v>
      </c>
      <c r="R21" t="s">
        <v>37</v>
      </c>
      <c r="S21" t="s">
        <v>37</v>
      </c>
      <c r="T21" t="s">
        <v>37</v>
      </c>
      <c r="U21" t="s">
        <v>37</v>
      </c>
      <c r="V21" t="s">
        <v>37</v>
      </c>
      <c r="W21" t="s">
        <v>37</v>
      </c>
      <c r="X21" t="s">
        <v>37</v>
      </c>
      <c r="Y21" t="s">
        <v>37</v>
      </c>
      <c r="Z21" t="s">
        <v>37</v>
      </c>
      <c r="AA21" t="s">
        <v>37</v>
      </c>
      <c r="AB21">
        <v>3</v>
      </c>
      <c r="AC21">
        <v>0</v>
      </c>
      <c r="AD21">
        <f t="shared" ca="1" si="0"/>
        <v>9</v>
      </c>
      <c r="AE21" t="e">
        <f>AVERAGE(Table1[[#This Row],[Runs Conceded]]/Table1[[#This Row],[Wickets Taken]])</f>
        <v>#VALUE!</v>
      </c>
    </row>
    <row r="22" spans="1:31" x14ac:dyDescent="0.3">
      <c r="A22" t="s">
        <v>26</v>
      </c>
      <c r="B22" t="s">
        <v>48</v>
      </c>
      <c r="C22" t="s">
        <v>32</v>
      </c>
      <c r="D22">
        <v>14</v>
      </c>
      <c r="E22">
        <v>14</v>
      </c>
      <c r="F22">
        <v>3</v>
      </c>
      <c r="G22">
        <v>411</v>
      </c>
      <c r="H22" t="s">
        <v>49</v>
      </c>
      <c r="I22">
        <v>37.36</v>
      </c>
      <c r="J22">
        <v>310</v>
      </c>
      <c r="K22">
        <v>132.58000000000001</v>
      </c>
      <c r="L22">
        <v>0</v>
      </c>
      <c r="M22">
        <v>4</v>
      </c>
      <c r="N22">
        <v>0</v>
      </c>
      <c r="O22">
        <v>29</v>
      </c>
      <c r="P22">
        <v>21</v>
      </c>
      <c r="Q22" t="s">
        <v>37</v>
      </c>
      <c r="R22" t="s">
        <v>37</v>
      </c>
      <c r="S22" t="s">
        <v>37</v>
      </c>
      <c r="T22" t="s">
        <v>37</v>
      </c>
      <c r="U22" t="s">
        <v>37</v>
      </c>
      <c r="V22" t="s">
        <v>37</v>
      </c>
      <c r="W22" t="s">
        <v>37</v>
      </c>
      <c r="X22" t="s">
        <v>37</v>
      </c>
      <c r="Y22" t="s">
        <v>37</v>
      </c>
      <c r="Z22" t="s">
        <v>37</v>
      </c>
      <c r="AA22" t="s">
        <v>37</v>
      </c>
      <c r="AB22">
        <v>5</v>
      </c>
      <c r="AC22">
        <v>0</v>
      </c>
      <c r="AD22">
        <f t="shared" ca="1" si="0"/>
        <v>6</v>
      </c>
      <c r="AE22" t="e">
        <f>AVERAGE(Table1[[#This Row],[Runs Conceded]]/Table1[[#This Row],[Wickets Taken]])</f>
        <v>#VALUE!</v>
      </c>
    </row>
    <row r="23" spans="1:31" x14ac:dyDescent="0.3">
      <c r="A23" t="s">
        <v>26</v>
      </c>
      <c r="B23" t="s">
        <v>50</v>
      </c>
      <c r="C23" t="s">
        <v>28</v>
      </c>
      <c r="D23">
        <v>4</v>
      </c>
      <c r="E23">
        <v>1</v>
      </c>
      <c r="F23">
        <v>0</v>
      </c>
      <c r="G23">
        <v>5</v>
      </c>
      <c r="H23">
        <v>5</v>
      </c>
      <c r="I23">
        <v>5</v>
      </c>
      <c r="J23">
        <v>7</v>
      </c>
      <c r="K23">
        <v>71.42</v>
      </c>
      <c r="L23">
        <v>0</v>
      </c>
      <c r="M23">
        <v>0</v>
      </c>
      <c r="N23">
        <v>0</v>
      </c>
      <c r="O23">
        <v>1</v>
      </c>
      <c r="P23">
        <v>0</v>
      </c>
      <c r="Q23">
        <v>4</v>
      </c>
      <c r="R23">
        <v>16</v>
      </c>
      <c r="S23">
        <v>0</v>
      </c>
      <c r="T23">
        <v>138</v>
      </c>
      <c r="U23">
        <v>5</v>
      </c>
      <c r="V23" s="1">
        <v>45352</v>
      </c>
      <c r="W23">
        <v>27.6</v>
      </c>
      <c r="X23">
        <v>8.6199999999999992</v>
      </c>
      <c r="Y23">
        <v>19.2</v>
      </c>
      <c r="Z23">
        <v>0</v>
      </c>
      <c r="AA23">
        <v>0</v>
      </c>
      <c r="AB23">
        <v>0</v>
      </c>
      <c r="AC23">
        <v>0</v>
      </c>
      <c r="AD23">
        <f t="shared" ca="1" si="0"/>
        <v>9</v>
      </c>
      <c r="AE23">
        <f>AVERAGE(Table1[[#This Row],[Runs Conceded]]/Table1[[#This Row],[Wickets Taken]])</f>
        <v>27.6</v>
      </c>
    </row>
    <row r="24" spans="1:31" x14ac:dyDescent="0.3">
      <c r="A24" t="s">
        <v>26</v>
      </c>
      <c r="B24" t="s">
        <v>51</v>
      </c>
      <c r="C24" t="s">
        <v>28</v>
      </c>
      <c r="D24">
        <v>12</v>
      </c>
      <c r="E24">
        <v>2</v>
      </c>
      <c r="F24">
        <v>0</v>
      </c>
      <c r="G24">
        <v>6</v>
      </c>
      <c r="H24">
        <v>4</v>
      </c>
      <c r="I24">
        <v>3</v>
      </c>
      <c r="J24">
        <v>13</v>
      </c>
      <c r="K24">
        <v>46.15</v>
      </c>
      <c r="L24">
        <v>0</v>
      </c>
      <c r="M24">
        <v>0</v>
      </c>
      <c r="N24">
        <v>0</v>
      </c>
      <c r="O24">
        <v>1</v>
      </c>
      <c r="P24">
        <v>0</v>
      </c>
      <c r="Q24">
        <v>12</v>
      </c>
      <c r="R24">
        <v>43.4</v>
      </c>
      <c r="S24">
        <v>1</v>
      </c>
      <c r="T24">
        <v>337</v>
      </c>
      <c r="U24">
        <v>10</v>
      </c>
      <c r="V24" s="1">
        <v>44256</v>
      </c>
      <c r="W24">
        <v>33.700000000000003</v>
      </c>
      <c r="X24">
        <v>7.71</v>
      </c>
      <c r="Y24">
        <v>26.2</v>
      </c>
      <c r="Z24">
        <v>0</v>
      </c>
      <c r="AA24">
        <v>0</v>
      </c>
      <c r="AB24">
        <v>0</v>
      </c>
      <c r="AC24">
        <v>0</v>
      </c>
      <c r="AD24">
        <f t="shared" ca="1" si="0"/>
        <v>6</v>
      </c>
      <c r="AE24">
        <f>AVERAGE(Table1[[#This Row],[Runs Conceded]]/Table1[[#This Row],[Wickets Taken]])</f>
        <v>33.700000000000003</v>
      </c>
    </row>
    <row r="25" spans="1:31" x14ac:dyDescent="0.3">
      <c r="A25" t="s">
        <v>26</v>
      </c>
      <c r="B25" t="s">
        <v>51</v>
      </c>
      <c r="C25" t="s">
        <v>30</v>
      </c>
      <c r="D25">
        <v>11</v>
      </c>
      <c r="E25">
        <v>3</v>
      </c>
      <c r="F25">
        <v>2</v>
      </c>
      <c r="G25">
        <v>4</v>
      </c>
      <c r="H25">
        <v>2</v>
      </c>
      <c r="I25">
        <v>4</v>
      </c>
      <c r="J25">
        <v>13</v>
      </c>
      <c r="K25">
        <v>30.76</v>
      </c>
      <c r="L25">
        <v>0</v>
      </c>
      <c r="M25">
        <v>0</v>
      </c>
      <c r="N25">
        <v>0</v>
      </c>
      <c r="O25">
        <v>0</v>
      </c>
      <c r="P25">
        <v>0</v>
      </c>
      <c r="Q25">
        <v>11</v>
      </c>
      <c r="R25">
        <v>40.1</v>
      </c>
      <c r="S25">
        <v>0</v>
      </c>
      <c r="T25">
        <v>313</v>
      </c>
      <c r="U25">
        <v>10</v>
      </c>
      <c r="V25" s="1">
        <v>43891</v>
      </c>
      <c r="W25">
        <v>31.3</v>
      </c>
      <c r="X25">
        <v>7.79</v>
      </c>
      <c r="Y25">
        <v>24.1</v>
      </c>
      <c r="Z25">
        <v>0</v>
      </c>
      <c r="AA25">
        <v>0</v>
      </c>
      <c r="AB25">
        <v>4</v>
      </c>
      <c r="AC25">
        <v>0</v>
      </c>
      <c r="AD25">
        <f t="shared" ca="1" si="0"/>
        <v>12</v>
      </c>
      <c r="AE25">
        <f>AVERAGE(Table1[[#This Row],[Runs Conceded]]/Table1[[#This Row],[Wickets Taken]])</f>
        <v>31.3</v>
      </c>
    </row>
    <row r="26" spans="1:31" x14ac:dyDescent="0.3">
      <c r="A26" t="s">
        <v>26</v>
      </c>
      <c r="B26" t="s">
        <v>52</v>
      </c>
      <c r="C26" t="s">
        <v>28</v>
      </c>
      <c r="D26">
        <v>5</v>
      </c>
      <c r="E26">
        <v>2</v>
      </c>
      <c r="F26">
        <v>0</v>
      </c>
      <c r="G26">
        <v>6</v>
      </c>
      <c r="H26">
        <v>5</v>
      </c>
      <c r="I26">
        <v>3</v>
      </c>
      <c r="J26">
        <v>10</v>
      </c>
      <c r="K26">
        <v>60</v>
      </c>
      <c r="L26">
        <v>0</v>
      </c>
      <c r="M26">
        <v>0</v>
      </c>
      <c r="N26">
        <v>0</v>
      </c>
      <c r="O26">
        <v>0</v>
      </c>
      <c r="P26">
        <v>0</v>
      </c>
      <c r="Q26">
        <v>5</v>
      </c>
      <c r="R26">
        <v>17</v>
      </c>
      <c r="S26">
        <v>0</v>
      </c>
      <c r="T26">
        <v>125</v>
      </c>
      <c r="U26">
        <v>2</v>
      </c>
      <c r="V26" s="1">
        <v>44927</v>
      </c>
      <c r="W26">
        <v>62.5</v>
      </c>
      <c r="X26">
        <v>7.35</v>
      </c>
      <c r="Y26">
        <v>51</v>
      </c>
      <c r="Z26">
        <v>0</v>
      </c>
      <c r="AA26">
        <v>0</v>
      </c>
      <c r="AB26">
        <v>1</v>
      </c>
      <c r="AC26">
        <v>0</v>
      </c>
      <c r="AD26">
        <f t="shared" ca="1" si="0"/>
        <v>16</v>
      </c>
      <c r="AE26">
        <f>AVERAGE(Table1[[#This Row],[Runs Conceded]]/Table1[[#This Row],[Wickets Taken]])</f>
        <v>62.5</v>
      </c>
    </row>
    <row r="27" spans="1:31" x14ac:dyDescent="0.3">
      <c r="A27" t="s">
        <v>26</v>
      </c>
      <c r="B27" t="s">
        <v>52</v>
      </c>
      <c r="C27" t="s">
        <v>30</v>
      </c>
      <c r="D27">
        <v>2</v>
      </c>
      <c r="E27" t="s">
        <v>37</v>
      </c>
      <c r="F27" t="s">
        <v>37</v>
      </c>
      <c r="G27" t="s">
        <v>37</v>
      </c>
      <c r="H27" t="s">
        <v>37</v>
      </c>
      <c r="I27" t="s">
        <v>37</v>
      </c>
      <c r="J27" t="s">
        <v>37</v>
      </c>
      <c r="K27" t="s">
        <v>37</v>
      </c>
      <c r="L27" t="s">
        <v>37</v>
      </c>
      <c r="M27" t="s">
        <v>37</v>
      </c>
      <c r="N27" t="s">
        <v>37</v>
      </c>
      <c r="O27" t="s">
        <v>37</v>
      </c>
      <c r="P27" t="s">
        <v>37</v>
      </c>
      <c r="Q27">
        <v>2</v>
      </c>
      <c r="R27">
        <v>6</v>
      </c>
      <c r="S27">
        <v>0</v>
      </c>
      <c r="T27">
        <v>42</v>
      </c>
      <c r="U27">
        <v>0</v>
      </c>
      <c r="V27" t="s">
        <v>37</v>
      </c>
      <c r="W27" t="s">
        <v>37</v>
      </c>
      <c r="X27">
        <v>7</v>
      </c>
      <c r="Y27" t="s">
        <v>37</v>
      </c>
      <c r="Z27">
        <v>0</v>
      </c>
      <c r="AA27">
        <v>0</v>
      </c>
      <c r="AB27">
        <v>0</v>
      </c>
      <c r="AC27">
        <v>0</v>
      </c>
      <c r="AD27">
        <f t="shared" ca="1" si="0"/>
        <v>5</v>
      </c>
      <c r="AE27" t="e">
        <f>AVERAGE(Table1[[#This Row],[Runs Conceded]]/Table1[[#This Row],[Wickets Taken]])</f>
        <v>#DIV/0!</v>
      </c>
    </row>
    <row r="28" spans="1:31" x14ac:dyDescent="0.3">
      <c r="A28" t="s">
        <v>26</v>
      </c>
      <c r="B28" t="s">
        <v>53</v>
      </c>
      <c r="C28" t="s">
        <v>28</v>
      </c>
      <c r="D28">
        <v>14</v>
      </c>
      <c r="E28">
        <v>2</v>
      </c>
      <c r="F28">
        <v>0</v>
      </c>
      <c r="G28">
        <v>4</v>
      </c>
      <c r="H28">
        <v>3</v>
      </c>
      <c r="I28">
        <v>2</v>
      </c>
      <c r="J28">
        <v>14</v>
      </c>
      <c r="K28">
        <v>28.57</v>
      </c>
      <c r="L28">
        <v>0</v>
      </c>
      <c r="M28">
        <v>0</v>
      </c>
      <c r="N28">
        <v>0</v>
      </c>
      <c r="O28">
        <v>0</v>
      </c>
      <c r="P28">
        <v>0</v>
      </c>
      <c r="Q28">
        <v>14</v>
      </c>
      <c r="R28">
        <v>46</v>
      </c>
      <c r="S28">
        <v>0</v>
      </c>
      <c r="T28">
        <v>344</v>
      </c>
      <c r="U28">
        <v>13</v>
      </c>
      <c r="V28" s="2">
        <v>44139</v>
      </c>
      <c r="W28">
        <v>26.46</v>
      </c>
      <c r="X28">
        <v>7.47</v>
      </c>
      <c r="Y28">
        <v>21.2</v>
      </c>
      <c r="Z28">
        <v>1</v>
      </c>
      <c r="AA28">
        <v>0</v>
      </c>
      <c r="AB28">
        <v>3</v>
      </c>
      <c r="AC28">
        <v>0</v>
      </c>
      <c r="AD28">
        <f t="shared" ca="1" si="0"/>
        <v>10</v>
      </c>
      <c r="AE28">
        <f>AVERAGE(Table1[[#This Row],[Runs Conceded]]/Table1[[#This Row],[Wickets Taken]])</f>
        <v>26.46153846153846</v>
      </c>
    </row>
    <row r="29" spans="1:31" x14ac:dyDescent="0.3">
      <c r="A29" t="s">
        <v>26</v>
      </c>
      <c r="B29" t="s">
        <v>53</v>
      </c>
      <c r="C29" t="s">
        <v>30</v>
      </c>
      <c r="D29">
        <v>14</v>
      </c>
      <c r="E29">
        <v>6</v>
      </c>
      <c r="F29">
        <v>5</v>
      </c>
      <c r="G29">
        <v>49</v>
      </c>
      <c r="H29" t="s">
        <v>54</v>
      </c>
      <c r="I29">
        <v>49</v>
      </c>
      <c r="J29">
        <v>52</v>
      </c>
      <c r="K29">
        <v>94.23</v>
      </c>
      <c r="L29">
        <v>0</v>
      </c>
      <c r="M29">
        <v>0</v>
      </c>
      <c r="N29">
        <v>0</v>
      </c>
      <c r="O29">
        <v>2</v>
      </c>
      <c r="P29">
        <v>2</v>
      </c>
      <c r="Q29">
        <v>14</v>
      </c>
      <c r="R29">
        <v>38.5</v>
      </c>
      <c r="S29">
        <v>1</v>
      </c>
      <c r="T29">
        <v>343</v>
      </c>
      <c r="U29">
        <v>10</v>
      </c>
      <c r="V29" s="2">
        <v>44138</v>
      </c>
      <c r="W29">
        <v>34.299999999999997</v>
      </c>
      <c r="X29">
        <v>8.83</v>
      </c>
      <c r="Y29">
        <v>23.3</v>
      </c>
      <c r="Z29">
        <v>0</v>
      </c>
      <c r="AA29">
        <v>0</v>
      </c>
      <c r="AB29">
        <v>3</v>
      </c>
      <c r="AC29">
        <v>0</v>
      </c>
      <c r="AD29">
        <f t="shared" ca="1" si="0"/>
        <v>4</v>
      </c>
      <c r="AE29">
        <f>AVERAGE(Table1[[#This Row],[Runs Conceded]]/Table1[[#This Row],[Wickets Taken]])</f>
        <v>34.299999999999997</v>
      </c>
    </row>
    <row r="30" spans="1:31" x14ac:dyDescent="0.3">
      <c r="A30" t="s">
        <v>26</v>
      </c>
      <c r="B30" t="s">
        <v>53</v>
      </c>
      <c r="C30" t="s">
        <v>32</v>
      </c>
      <c r="D30">
        <v>10</v>
      </c>
      <c r="E30">
        <v>1</v>
      </c>
      <c r="F30">
        <v>1</v>
      </c>
      <c r="G30">
        <v>1</v>
      </c>
      <c r="H30" t="s">
        <v>55</v>
      </c>
      <c r="I30" t="s">
        <v>37</v>
      </c>
      <c r="J30">
        <v>2</v>
      </c>
      <c r="K30">
        <v>50</v>
      </c>
      <c r="L30">
        <v>0</v>
      </c>
      <c r="M30">
        <v>0</v>
      </c>
      <c r="N30">
        <v>0</v>
      </c>
      <c r="O30">
        <v>0</v>
      </c>
      <c r="P30">
        <v>0</v>
      </c>
      <c r="Q30">
        <v>10</v>
      </c>
      <c r="R30">
        <v>37</v>
      </c>
      <c r="S30">
        <v>1</v>
      </c>
      <c r="T30">
        <v>264</v>
      </c>
      <c r="U30">
        <v>12</v>
      </c>
      <c r="V30" s="1">
        <v>43525</v>
      </c>
      <c r="W30">
        <v>22</v>
      </c>
      <c r="X30">
        <v>7.13</v>
      </c>
      <c r="Y30">
        <v>18.5</v>
      </c>
      <c r="Z30">
        <v>0</v>
      </c>
      <c r="AA30">
        <v>0</v>
      </c>
      <c r="AB30">
        <v>0</v>
      </c>
      <c r="AC30">
        <v>0</v>
      </c>
      <c r="AD30">
        <f t="shared" ca="1" si="0"/>
        <v>15</v>
      </c>
      <c r="AE30">
        <f>AVERAGE(Table1[[#This Row],[Runs Conceded]]/Table1[[#This Row],[Wickets Taken]])</f>
        <v>22</v>
      </c>
    </row>
    <row r="31" spans="1:31" x14ac:dyDescent="0.3">
      <c r="A31" t="s">
        <v>26</v>
      </c>
      <c r="B31" t="s">
        <v>56</v>
      </c>
      <c r="C31" t="s">
        <v>28</v>
      </c>
      <c r="D31">
        <v>4</v>
      </c>
      <c r="E31">
        <v>2</v>
      </c>
      <c r="F31">
        <v>2</v>
      </c>
      <c r="G31">
        <v>9</v>
      </c>
      <c r="H31" t="s">
        <v>57</v>
      </c>
      <c r="I31" t="s">
        <v>37</v>
      </c>
      <c r="J31">
        <v>14</v>
      </c>
      <c r="K31">
        <v>64.28</v>
      </c>
      <c r="L31">
        <v>0</v>
      </c>
      <c r="M31">
        <v>0</v>
      </c>
      <c r="N31">
        <v>0</v>
      </c>
      <c r="O31">
        <v>1</v>
      </c>
      <c r="P31">
        <v>0</v>
      </c>
      <c r="Q31">
        <v>4</v>
      </c>
      <c r="R31">
        <v>15</v>
      </c>
      <c r="S31">
        <v>0</v>
      </c>
      <c r="T31">
        <v>114</v>
      </c>
      <c r="U31">
        <v>3</v>
      </c>
      <c r="V31" s="1">
        <v>45689</v>
      </c>
      <c r="W31">
        <v>38</v>
      </c>
      <c r="X31">
        <v>7.6</v>
      </c>
      <c r="Y31">
        <v>30</v>
      </c>
      <c r="Z31">
        <v>0</v>
      </c>
      <c r="AA31">
        <v>0</v>
      </c>
      <c r="AB31">
        <v>0</v>
      </c>
      <c r="AC31">
        <v>0</v>
      </c>
      <c r="AD31">
        <f t="shared" ca="1" si="0"/>
        <v>18</v>
      </c>
      <c r="AE31">
        <f>AVERAGE(Table1[[#This Row],[Runs Conceded]]/Table1[[#This Row],[Wickets Taken]])</f>
        <v>38</v>
      </c>
    </row>
    <row r="32" spans="1:31" x14ac:dyDescent="0.3">
      <c r="A32" t="s">
        <v>26</v>
      </c>
      <c r="B32" t="s">
        <v>58</v>
      </c>
      <c r="C32" t="s">
        <v>28</v>
      </c>
      <c r="D32">
        <v>8</v>
      </c>
      <c r="E32">
        <v>2</v>
      </c>
      <c r="F32">
        <v>2</v>
      </c>
      <c r="G32">
        <v>2</v>
      </c>
      <c r="H32" t="s">
        <v>59</v>
      </c>
      <c r="I32" t="s">
        <v>37</v>
      </c>
      <c r="J32">
        <v>4</v>
      </c>
      <c r="K32">
        <v>50</v>
      </c>
      <c r="L32">
        <v>0</v>
      </c>
      <c r="M32">
        <v>0</v>
      </c>
      <c r="N32">
        <v>0</v>
      </c>
      <c r="O32">
        <v>0</v>
      </c>
      <c r="P32">
        <v>0</v>
      </c>
      <c r="Q32">
        <v>8</v>
      </c>
      <c r="R32">
        <v>25.1</v>
      </c>
      <c r="S32">
        <v>0</v>
      </c>
      <c r="T32">
        <v>244</v>
      </c>
      <c r="U32">
        <v>5</v>
      </c>
      <c r="V32" s="1">
        <v>12451</v>
      </c>
      <c r="W32">
        <v>48.8</v>
      </c>
      <c r="X32">
        <v>9.69</v>
      </c>
      <c r="Y32">
        <v>30.2</v>
      </c>
      <c r="Z32">
        <v>0</v>
      </c>
      <c r="AA32">
        <v>0</v>
      </c>
      <c r="AB32">
        <v>1</v>
      </c>
      <c r="AC32">
        <v>0</v>
      </c>
      <c r="AD32">
        <f t="shared" ca="1" si="0"/>
        <v>5</v>
      </c>
      <c r="AE32">
        <f>AVERAGE(Table1[[#This Row],[Runs Conceded]]/Table1[[#This Row],[Wickets Taken]])</f>
        <v>48.8</v>
      </c>
    </row>
    <row r="33" spans="1:31" x14ac:dyDescent="0.3">
      <c r="A33" t="s">
        <v>26</v>
      </c>
      <c r="B33" t="s">
        <v>58</v>
      </c>
      <c r="C33" t="s">
        <v>30</v>
      </c>
      <c r="D33">
        <v>8</v>
      </c>
      <c r="E33">
        <v>6</v>
      </c>
      <c r="F33">
        <v>2</v>
      </c>
      <c r="G33">
        <v>36</v>
      </c>
      <c r="H33">
        <v>21</v>
      </c>
      <c r="I33">
        <v>9</v>
      </c>
      <c r="J33">
        <v>24</v>
      </c>
      <c r="K33">
        <v>150</v>
      </c>
      <c r="L33">
        <v>0</v>
      </c>
      <c r="M33">
        <v>0</v>
      </c>
      <c r="N33">
        <v>0</v>
      </c>
      <c r="O33">
        <v>4</v>
      </c>
      <c r="P33">
        <v>2</v>
      </c>
      <c r="Q33">
        <v>8</v>
      </c>
      <c r="R33">
        <v>26</v>
      </c>
      <c r="S33">
        <v>0</v>
      </c>
      <c r="T33">
        <v>243</v>
      </c>
      <c r="U33">
        <v>5</v>
      </c>
      <c r="V33" s="1">
        <v>13181</v>
      </c>
      <c r="W33">
        <v>48.6</v>
      </c>
      <c r="X33">
        <v>9.34</v>
      </c>
      <c r="Y33">
        <v>31.2</v>
      </c>
      <c r="Z33">
        <v>0</v>
      </c>
      <c r="AA33">
        <v>0</v>
      </c>
      <c r="AB33">
        <v>0</v>
      </c>
      <c r="AC33">
        <v>0</v>
      </c>
      <c r="AD33">
        <f t="shared" ca="1" si="0"/>
        <v>9</v>
      </c>
      <c r="AE33">
        <f>AVERAGE(Table1[[#This Row],[Runs Conceded]]/Table1[[#This Row],[Wickets Taken]])</f>
        <v>48.6</v>
      </c>
    </row>
    <row r="34" spans="1:31" x14ac:dyDescent="0.3">
      <c r="A34" t="s">
        <v>26</v>
      </c>
      <c r="B34" t="s">
        <v>58</v>
      </c>
      <c r="C34" t="s">
        <v>32</v>
      </c>
      <c r="D34">
        <v>4</v>
      </c>
      <c r="E34">
        <v>1</v>
      </c>
      <c r="F34">
        <v>0</v>
      </c>
      <c r="G34">
        <v>7</v>
      </c>
      <c r="H34">
        <v>7</v>
      </c>
      <c r="I34">
        <v>7</v>
      </c>
      <c r="J34">
        <v>6</v>
      </c>
      <c r="K34">
        <v>116.66</v>
      </c>
      <c r="L34">
        <v>0</v>
      </c>
      <c r="M34">
        <v>0</v>
      </c>
      <c r="N34">
        <v>0</v>
      </c>
      <c r="O34">
        <v>1</v>
      </c>
      <c r="P34">
        <v>0</v>
      </c>
      <c r="Q34">
        <v>4</v>
      </c>
      <c r="R34">
        <v>13.5</v>
      </c>
      <c r="S34">
        <v>0</v>
      </c>
      <c r="T34">
        <v>144</v>
      </c>
      <c r="U34">
        <v>3</v>
      </c>
      <c r="V34" s="1">
        <v>47119</v>
      </c>
      <c r="W34">
        <v>48</v>
      </c>
      <c r="X34">
        <v>10.4</v>
      </c>
      <c r="Y34">
        <v>27.6</v>
      </c>
      <c r="Z34">
        <v>0</v>
      </c>
      <c r="AA34">
        <v>0</v>
      </c>
      <c r="AB34">
        <v>2</v>
      </c>
      <c r="AC34">
        <v>0</v>
      </c>
      <c r="AD34">
        <f t="shared" ca="1" si="0"/>
        <v>3</v>
      </c>
      <c r="AE34">
        <f>AVERAGE(Table1[[#This Row],[Runs Conceded]]/Table1[[#This Row],[Wickets Taken]])</f>
        <v>48</v>
      </c>
    </row>
    <row r="35" spans="1:31" x14ac:dyDescent="0.3">
      <c r="A35" t="s">
        <v>26</v>
      </c>
      <c r="B35" t="s">
        <v>60</v>
      </c>
      <c r="C35" t="s">
        <v>28</v>
      </c>
      <c r="D35">
        <v>4</v>
      </c>
      <c r="E35">
        <v>1</v>
      </c>
      <c r="F35">
        <v>1</v>
      </c>
      <c r="G35">
        <v>1</v>
      </c>
      <c r="H35" t="s">
        <v>55</v>
      </c>
      <c r="I35" t="s">
        <v>37</v>
      </c>
      <c r="J35">
        <v>5</v>
      </c>
      <c r="K35">
        <v>20</v>
      </c>
      <c r="L35">
        <v>0</v>
      </c>
      <c r="M35">
        <v>0</v>
      </c>
      <c r="N35">
        <v>0</v>
      </c>
      <c r="O35">
        <v>0</v>
      </c>
      <c r="P35">
        <v>0</v>
      </c>
      <c r="Q35">
        <v>4</v>
      </c>
      <c r="R35">
        <v>15</v>
      </c>
      <c r="S35">
        <v>0</v>
      </c>
      <c r="T35">
        <v>127</v>
      </c>
      <c r="U35">
        <v>2</v>
      </c>
      <c r="V35" s="1">
        <v>44958</v>
      </c>
      <c r="W35">
        <v>63.5</v>
      </c>
      <c r="X35">
        <v>8.4600000000000009</v>
      </c>
      <c r="Y35">
        <v>45</v>
      </c>
      <c r="Z35">
        <v>0</v>
      </c>
      <c r="AA35">
        <v>0</v>
      </c>
      <c r="AB35">
        <v>0</v>
      </c>
      <c r="AC35">
        <v>0</v>
      </c>
      <c r="AD35">
        <f t="shared" ca="1" si="0"/>
        <v>15</v>
      </c>
      <c r="AE35">
        <f>AVERAGE(Table1[[#This Row],[Runs Conceded]]/Table1[[#This Row],[Wickets Taken]])</f>
        <v>63.5</v>
      </c>
    </row>
    <row r="36" spans="1:31" x14ac:dyDescent="0.3">
      <c r="A36" t="s">
        <v>26</v>
      </c>
      <c r="B36" t="s">
        <v>60</v>
      </c>
      <c r="C36" t="s">
        <v>30</v>
      </c>
      <c r="D36">
        <v>7</v>
      </c>
      <c r="E36">
        <v>4</v>
      </c>
      <c r="F36">
        <v>1</v>
      </c>
      <c r="G36">
        <v>2</v>
      </c>
      <c r="H36">
        <v>2</v>
      </c>
      <c r="I36">
        <v>0.66</v>
      </c>
      <c r="J36">
        <v>9</v>
      </c>
      <c r="K36">
        <v>22.22</v>
      </c>
      <c r="L36">
        <v>0</v>
      </c>
      <c r="M36">
        <v>0</v>
      </c>
      <c r="N36">
        <v>2</v>
      </c>
      <c r="O36">
        <v>0</v>
      </c>
      <c r="P36">
        <v>0</v>
      </c>
      <c r="Q36">
        <v>7</v>
      </c>
      <c r="R36">
        <v>17.5</v>
      </c>
      <c r="S36">
        <v>0</v>
      </c>
      <c r="T36">
        <v>119</v>
      </c>
      <c r="U36">
        <v>6</v>
      </c>
      <c r="V36" s="1">
        <v>41306</v>
      </c>
      <c r="W36">
        <v>19.829999999999998</v>
      </c>
      <c r="X36">
        <v>6.67</v>
      </c>
      <c r="Y36">
        <v>17.8</v>
      </c>
      <c r="Z36">
        <v>0</v>
      </c>
      <c r="AA36">
        <v>0</v>
      </c>
      <c r="AB36">
        <v>2</v>
      </c>
      <c r="AC36">
        <v>0</v>
      </c>
      <c r="AD36">
        <f t="shared" ca="1" si="0"/>
        <v>4</v>
      </c>
      <c r="AE36">
        <f>AVERAGE(Table1[[#This Row],[Runs Conceded]]/Table1[[#This Row],[Wickets Taken]])</f>
        <v>19.833333333333332</v>
      </c>
    </row>
    <row r="37" spans="1:31" x14ac:dyDescent="0.3">
      <c r="A37" t="s">
        <v>26</v>
      </c>
      <c r="B37" t="s">
        <v>60</v>
      </c>
      <c r="C37" t="s">
        <v>32</v>
      </c>
      <c r="D37">
        <v>6</v>
      </c>
      <c r="E37">
        <v>1</v>
      </c>
      <c r="F37">
        <v>1</v>
      </c>
      <c r="G37">
        <v>6</v>
      </c>
      <c r="H37" t="s">
        <v>61</v>
      </c>
      <c r="I37" t="s">
        <v>37</v>
      </c>
      <c r="J37">
        <v>8</v>
      </c>
      <c r="K37">
        <v>75</v>
      </c>
      <c r="L37">
        <v>0</v>
      </c>
      <c r="M37">
        <v>0</v>
      </c>
      <c r="N37">
        <v>0</v>
      </c>
      <c r="O37">
        <v>0</v>
      </c>
      <c r="P37">
        <v>0</v>
      </c>
      <c r="Q37">
        <v>6</v>
      </c>
      <c r="R37">
        <v>15</v>
      </c>
      <c r="S37">
        <v>0</v>
      </c>
      <c r="T37">
        <v>161</v>
      </c>
      <c r="U37">
        <v>3</v>
      </c>
      <c r="V37" s="1">
        <v>12451</v>
      </c>
      <c r="W37">
        <v>53.66</v>
      </c>
      <c r="X37">
        <v>10.73</v>
      </c>
      <c r="Y37">
        <v>30</v>
      </c>
      <c r="Z37">
        <v>0</v>
      </c>
      <c r="AA37">
        <v>0</v>
      </c>
      <c r="AB37">
        <v>1</v>
      </c>
      <c r="AC37">
        <v>0</v>
      </c>
      <c r="AD37">
        <f t="shared" ca="1" si="0"/>
        <v>6</v>
      </c>
      <c r="AE37">
        <f>AVERAGE(Table1[[#This Row],[Runs Conceded]]/Table1[[#This Row],[Wickets Taken]])</f>
        <v>53.666666666666664</v>
      </c>
    </row>
    <row r="38" spans="1:31" x14ac:dyDescent="0.3">
      <c r="A38" t="s">
        <v>26</v>
      </c>
      <c r="B38" t="s">
        <v>62</v>
      </c>
      <c r="C38" t="s">
        <v>32</v>
      </c>
      <c r="D38">
        <v>12</v>
      </c>
      <c r="E38">
        <v>12</v>
      </c>
      <c r="F38">
        <v>0</v>
      </c>
      <c r="G38">
        <v>169</v>
      </c>
      <c r="H38">
        <v>47</v>
      </c>
      <c r="I38">
        <v>14.08</v>
      </c>
      <c r="J38">
        <v>120</v>
      </c>
      <c r="K38">
        <v>140.83000000000001</v>
      </c>
      <c r="L38">
        <v>0</v>
      </c>
      <c r="M38">
        <v>0</v>
      </c>
      <c r="N38">
        <v>0</v>
      </c>
      <c r="O38">
        <v>14</v>
      </c>
      <c r="P38">
        <v>9</v>
      </c>
      <c r="Q38">
        <v>10</v>
      </c>
      <c r="R38">
        <v>16</v>
      </c>
      <c r="S38">
        <v>0</v>
      </c>
      <c r="T38">
        <v>132</v>
      </c>
      <c r="U38">
        <v>5</v>
      </c>
      <c r="V38" s="1">
        <v>44593</v>
      </c>
      <c r="W38">
        <v>26.4</v>
      </c>
      <c r="X38">
        <v>8.25</v>
      </c>
      <c r="Y38">
        <v>19.2</v>
      </c>
      <c r="Z38">
        <v>0</v>
      </c>
      <c r="AA38">
        <v>0</v>
      </c>
      <c r="AB38">
        <v>4</v>
      </c>
      <c r="AC38">
        <v>0</v>
      </c>
      <c r="AD38">
        <f t="shared" ca="1" si="0"/>
        <v>9</v>
      </c>
      <c r="AE38">
        <f>AVERAGE(Table1[[#This Row],[Runs Conceded]]/Table1[[#This Row],[Wickets Taken]])</f>
        <v>26.4</v>
      </c>
    </row>
    <row r="39" spans="1:31" x14ac:dyDescent="0.3">
      <c r="A39" t="s">
        <v>26</v>
      </c>
      <c r="B39" t="s">
        <v>63</v>
      </c>
      <c r="C39" t="s">
        <v>32</v>
      </c>
      <c r="D39">
        <v>6</v>
      </c>
      <c r="E39">
        <v>5</v>
      </c>
      <c r="F39">
        <v>0</v>
      </c>
      <c r="G39">
        <v>85</v>
      </c>
      <c r="H39">
        <v>55</v>
      </c>
      <c r="I39">
        <v>17</v>
      </c>
      <c r="J39">
        <v>88</v>
      </c>
      <c r="K39">
        <v>96.59</v>
      </c>
      <c r="L39">
        <v>0</v>
      </c>
      <c r="M39">
        <v>1</v>
      </c>
      <c r="N39">
        <v>0</v>
      </c>
      <c r="O39">
        <v>8</v>
      </c>
      <c r="P39">
        <v>1</v>
      </c>
      <c r="Q39" t="s">
        <v>37</v>
      </c>
      <c r="R39" t="s">
        <v>37</v>
      </c>
      <c r="S39" t="s">
        <v>37</v>
      </c>
      <c r="T39" t="s">
        <v>37</v>
      </c>
      <c r="U39" t="s">
        <v>37</v>
      </c>
      <c r="V39" t="s">
        <v>37</v>
      </c>
      <c r="W39" t="s">
        <v>37</v>
      </c>
      <c r="X39" t="s">
        <v>37</v>
      </c>
      <c r="Y39" t="s">
        <v>37</v>
      </c>
      <c r="Z39" t="s">
        <v>37</v>
      </c>
      <c r="AA39" t="s">
        <v>37</v>
      </c>
      <c r="AB39">
        <v>1</v>
      </c>
      <c r="AC39">
        <v>0</v>
      </c>
      <c r="AD39">
        <f t="shared" ca="1" si="0"/>
        <v>5</v>
      </c>
      <c r="AE39" t="e">
        <f>AVERAGE(Table1[[#This Row],[Runs Conceded]]/Table1[[#This Row],[Wickets Taken]])</f>
        <v>#VALUE!</v>
      </c>
    </row>
    <row r="40" spans="1:31" x14ac:dyDescent="0.3">
      <c r="A40" t="s">
        <v>26</v>
      </c>
      <c r="B40" t="s">
        <v>64</v>
      </c>
      <c r="C40" t="s">
        <v>32</v>
      </c>
      <c r="D40">
        <v>5</v>
      </c>
      <c r="E40">
        <v>5</v>
      </c>
      <c r="F40">
        <v>0</v>
      </c>
      <c r="G40">
        <v>63</v>
      </c>
      <c r="H40">
        <v>33</v>
      </c>
      <c r="I40">
        <v>12.6</v>
      </c>
      <c r="J40">
        <v>41</v>
      </c>
      <c r="K40">
        <v>153.65</v>
      </c>
      <c r="L40">
        <v>0</v>
      </c>
      <c r="M40">
        <v>0</v>
      </c>
      <c r="N40">
        <v>2</v>
      </c>
      <c r="O40">
        <v>7</v>
      </c>
      <c r="P40">
        <v>4</v>
      </c>
      <c r="Q40" t="s">
        <v>37</v>
      </c>
      <c r="R40" t="s">
        <v>37</v>
      </c>
      <c r="S40" t="s">
        <v>37</v>
      </c>
      <c r="T40" t="s">
        <v>37</v>
      </c>
      <c r="U40" t="s">
        <v>37</v>
      </c>
      <c r="V40" t="s">
        <v>37</v>
      </c>
      <c r="W40" t="s">
        <v>37</v>
      </c>
      <c r="X40" t="s">
        <v>37</v>
      </c>
      <c r="Y40" t="s">
        <v>37</v>
      </c>
      <c r="Z40" t="s">
        <v>37</v>
      </c>
      <c r="AA40" t="s">
        <v>37</v>
      </c>
      <c r="AB40">
        <v>2</v>
      </c>
      <c r="AC40">
        <v>0</v>
      </c>
      <c r="AD40">
        <f t="shared" ca="1" si="0"/>
        <v>5</v>
      </c>
      <c r="AE40" t="e">
        <f>AVERAGE(Table1[[#This Row],[Runs Conceded]]/Table1[[#This Row],[Wickets Taken]])</f>
        <v>#VALUE!</v>
      </c>
    </row>
    <row r="41" spans="1:31" x14ac:dyDescent="0.3">
      <c r="A41" t="s">
        <v>26</v>
      </c>
      <c r="B41" t="s">
        <v>65</v>
      </c>
      <c r="C41" t="s">
        <v>32</v>
      </c>
      <c r="D41">
        <v>5</v>
      </c>
      <c r="E41">
        <v>2</v>
      </c>
      <c r="F41">
        <v>1</v>
      </c>
      <c r="G41">
        <v>60</v>
      </c>
      <c r="H41" t="s">
        <v>66</v>
      </c>
      <c r="I41">
        <v>60</v>
      </c>
      <c r="J41">
        <v>33</v>
      </c>
      <c r="K41">
        <v>181.81</v>
      </c>
      <c r="L41">
        <v>0</v>
      </c>
      <c r="M41">
        <v>0</v>
      </c>
      <c r="N41">
        <v>0</v>
      </c>
      <c r="O41">
        <v>1</v>
      </c>
      <c r="P41">
        <v>6</v>
      </c>
      <c r="Q41">
        <v>5</v>
      </c>
      <c r="R41">
        <v>17.3</v>
      </c>
      <c r="S41">
        <v>0</v>
      </c>
      <c r="T41">
        <v>167</v>
      </c>
      <c r="U41">
        <v>7</v>
      </c>
      <c r="V41" s="1">
        <v>46813</v>
      </c>
      <c r="W41">
        <v>23.85</v>
      </c>
      <c r="X41">
        <v>9.5399999999999991</v>
      </c>
      <c r="Y41">
        <v>15</v>
      </c>
      <c r="Z41">
        <v>0</v>
      </c>
      <c r="AA41">
        <v>0</v>
      </c>
      <c r="AB41">
        <v>0</v>
      </c>
      <c r="AC41">
        <v>0</v>
      </c>
      <c r="AD41">
        <f t="shared" ca="1" si="0"/>
        <v>16</v>
      </c>
      <c r="AE41">
        <f>AVERAGE(Table1[[#This Row],[Runs Conceded]]/Table1[[#This Row],[Wickets Taken]])</f>
        <v>23.857142857142858</v>
      </c>
    </row>
    <row r="42" spans="1:31" x14ac:dyDescent="0.3">
      <c r="A42" t="s">
        <v>26</v>
      </c>
      <c r="B42" t="s">
        <v>67</v>
      </c>
      <c r="C42" t="s">
        <v>32</v>
      </c>
      <c r="D42">
        <v>1</v>
      </c>
      <c r="E42">
        <v>1</v>
      </c>
      <c r="F42">
        <v>0</v>
      </c>
      <c r="G42">
        <v>1</v>
      </c>
      <c r="H42">
        <v>1</v>
      </c>
      <c r="I42">
        <v>1</v>
      </c>
      <c r="J42">
        <v>4</v>
      </c>
      <c r="K42">
        <v>25</v>
      </c>
      <c r="L42">
        <v>0</v>
      </c>
      <c r="M42">
        <v>0</v>
      </c>
      <c r="N42">
        <v>0</v>
      </c>
      <c r="O42">
        <v>0</v>
      </c>
      <c r="P42">
        <v>0</v>
      </c>
      <c r="Q42" t="s">
        <v>37</v>
      </c>
      <c r="R42" t="s">
        <v>37</v>
      </c>
      <c r="S42" t="s">
        <v>37</v>
      </c>
      <c r="T42" t="s">
        <v>37</v>
      </c>
      <c r="U42" t="s">
        <v>37</v>
      </c>
      <c r="V42" t="s">
        <v>37</v>
      </c>
      <c r="W42" t="s">
        <v>37</v>
      </c>
      <c r="X42" t="s">
        <v>37</v>
      </c>
      <c r="Y42" t="s">
        <v>37</v>
      </c>
      <c r="Z42" t="s">
        <v>37</v>
      </c>
      <c r="AA42" t="s">
        <v>37</v>
      </c>
      <c r="AB42">
        <v>0</v>
      </c>
      <c r="AC42">
        <v>0</v>
      </c>
      <c r="AD42">
        <f t="shared" ca="1" si="0"/>
        <v>9</v>
      </c>
      <c r="AE42" t="e">
        <f>AVERAGE(Table1[[#This Row],[Runs Conceded]]/Table1[[#This Row],[Wickets Taken]])</f>
        <v>#VALUE!</v>
      </c>
    </row>
    <row r="43" spans="1:31" x14ac:dyDescent="0.3">
      <c r="A43" t="s">
        <v>26</v>
      </c>
      <c r="B43" t="s">
        <v>68</v>
      </c>
      <c r="C43" t="s">
        <v>30</v>
      </c>
      <c r="D43">
        <v>3</v>
      </c>
      <c r="E43">
        <v>3</v>
      </c>
      <c r="F43">
        <v>0</v>
      </c>
      <c r="G43">
        <v>18</v>
      </c>
      <c r="H43">
        <v>18</v>
      </c>
      <c r="I43">
        <v>6</v>
      </c>
      <c r="J43">
        <v>23</v>
      </c>
      <c r="K43">
        <v>78.260000000000005</v>
      </c>
      <c r="L43">
        <v>0</v>
      </c>
      <c r="M43">
        <v>0</v>
      </c>
      <c r="N43">
        <v>2</v>
      </c>
      <c r="O43">
        <v>3</v>
      </c>
      <c r="P43">
        <v>0</v>
      </c>
      <c r="Q43" t="s">
        <v>37</v>
      </c>
      <c r="R43" t="s">
        <v>37</v>
      </c>
      <c r="S43" t="s">
        <v>37</v>
      </c>
      <c r="T43" t="s">
        <v>37</v>
      </c>
      <c r="U43" t="s">
        <v>37</v>
      </c>
      <c r="V43" t="s">
        <v>37</v>
      </c>
      <c r="W43" t="s">
        <v>37</v>
      </c>
      <c r="X43" t="s">
        <v>37</v>
      </c>
      <c r="Y43" t="s">
        <v>37</v>
      </c>
      <c r="Z43" t="s">
        <v>37</v>
      </c>
      <c r="AA43" t="s">
        <v>37</v>
      </c>
      <c r="AB43">
        <v>0</v>
      </c>
      <c r="AC43">
        <v>0</v>
      </c>
      <c r="AD43">
        <f t="shared" ca="1" si="0"/>
        <v>3</v>
      </c>
      <c r="AE43" t="e">
        <f>AVERAGE(Table1[[#This Row],[Runs Conceded]]/Table1[[#This Row],[Wickets Taken]])</f>
        <v>#VALUE!</v>
      </c>
    </row>
    <row r="44" spans="1:31" x14ac:dyDescent="0.3">
      <c r="A44" t="s">
        <v>26</v>
      </c>
      <c r="B44" t="s">
        <v>69</v>
      </c>
      <c r="C44" t="s">
        <v>32</v>
      </c>
      <c r="D44">
        <v>14</v>
      </c>
      <c r="E44">
        <v>1</v>
      </c>
      <c r="F44">
        <v>0</v>
      </c>
      <c r="G44">
        <v>0</v>
      </c>
      <c r="H44">
        <v>0</v>
      </c>
      <c r="I44">
        <v>0</v>
      </c>
      <c r="J44">
        <v>2</v>
      </c>
      <c r="K44">
        <v>0</v>
      </c>
      <c r="L44">
        <v>0</v>
      </c>
      <c r="M44">
        <v>0</v>
      </c>
      <c r="N44">
        <v>1</v>
      </c>
      <c r="O44">
        <v>0</v>
      </c>
      <c r="P44">
        <v>0</v>
      </c>
      <c r="Q44">
        <v>14</v>
      </c>
      <c r="R44">
        <v>52.4</v>
      </c>
      <c r="S44">
        <v>1</v>
      </c>
      <c r="T44">
        <v>466</v>
      </c>
      <c r="U44">
        <v>18</v>
      </c>
      <c r="V44" s="1">
        <v>43862</v>
      </c>
      <c r="W44">
        <v>25.88</v>
      </c>
      <c r="X44">
        <v>8.84</v>
      </c>
      <c r="Y44">
        <v>17.5</v>
      </c>
      <c r="Z44">
        <v>0</v>
      </c>
      <c r="AA44">
        <v>0</v>
      </c>
      <c r="AB44">
        <v>9</v>
      </c>
      <c r="AC44">
        <v>0</v>
      </c>
      <c r="AD44">
        <f t="shared" ca="1" si="0"/>
        <v>16</v>
      </c>
      <c r="AE44">
        <f>AVERAGE(Table1[[#This Row],[Runs Conceded]]/Table1[[#This Row],[Wickets Taken]])</f>
        <v>25.888888888888889</v>
      </c>
    </row>
    <row r="45" spans="1:31" x14ac:dyDescent="0.3">
      <c r="A45" t="s">
        <v>26</v>
      </c>
      <c r="B45" t="s">
        <v>70</v>
      </c>
      <c r="C45" t="s">
        <v>30</v>
      </c>
      <c r="D45">
        <v>11</v>
      </c>
      <c r="E45">
        <v>11</v>
      </c>
      <c r="F45">
        <v>4</v>
      </c>
      <c r="G45">
        <v>142</v>
      </c>
      <c r="H45" t="s">
        <v>71</v>
      </c>
      <c r="I45">
        <v>20.28</v>
      </c>
      <c r="J45">
        <v>123</v>
      </c>
      <c r="K45">
        <v>115.44</v>
      </c>
      <c r="L45">
        <v>0</v>
      </c>
      <c r="M45">
        <v>0</v>
      </c>
      <c r="N45">
        <v>1</v>
      </c>
      <c r="O45">
        <v>8</v>
      </c>
      <c r="P45">
        <v>9</v>
      </c>
      <c r="Q45">
        <v>8</v>
      </c>
      <c r="R45">
        <v>18.5</v>
      </c>
      <c r="S45">
        <v>0</v>
      </c>
      <c r="T45">
        <v>186</v>
      </c>
      <c r="U45">
        <v>3</v>
      </c>
      <c r="V45" s="1">
        <v>44927</v>
      </c>
      <c r="W45">
        <v>62</v>
      </c>
      <c r="X45">
        <v>9.8699999999999992</v>
      </c>
      <c r="Y45">
        <v>37.6</v>
      </c>
      <c r="Z45">
        <v>0</v>
      </c>
      <c r="AA45">
        <v>0</v>
      </c>
      <c r="AB45">
        <v>5</v>
      </c>
      <c r="AC45">
        <v>0</v>
      </c>
      <c r="AD45">
        <f t="shared" ca="1" si="0"/>
        <v>16</v>
      </c>
      <c r="AE45">
        <f>AVERAGE(Table1[[#This Row],[Runs Conceded]]/Table1[[#This Row],[Wickets Taken]])</f>
        <v>62</v>
      </c>
    </row>
    <row r="46" spans="1:31" x14ac:dyDescent="0.3">
      <c r="A46" t="s">
        <v>26</v>
      </c>
      <c r="B46" t="s">
        <v>72</v>
      </c>
      <c r="C46" t="s">
        <v>30</v>
      </c>
      <c r="D46">
        <v>6</v>
      </c>
      <c r="E46">
        <v>3</v>
      </c>
      <c r="F46">
        <v>0</v>
      </c>
      <c r="G46">
        <v>55</v>
      </c>
      <c r="H46">
        <v>44</v>
      </c>
      <c r="I46">
        <v>18.329999999999998</v>
      </c>
      <c r="J46">
        <v>64</v>
      </c>
      <c r="K46">
        <v>85.93</v>
      </c>
      <c r="L46">
        <v>0</v>
      </c>
      <c r="M46">
        <v>0</v>
      </c>
      <c r="N46">
        <v>1</v>
      </c>
      <c r="O46">
        <v>5</v>
      </c>
      <c r="P46">
        <v>1</v>
      </c>
      <c r="Q46">
        <v>6</v>
      </c>
      <c r="R46">
        <v>21.2</v>
      </c>
      <c r="S46">
        <v>0</v>
      </c>
      <c r="T46">
        <v>188</v>
      </c>
      <c r="U46">
        <v>6</v>
      </c>
      <c r="V46" s="1">
        <v>43862</v>
      </c>
      <c r="W46">
        <v>31.33</v>
      </c>
      <c r="X46">
        <v>8.81</v>
      </c>
      <c r="Y46">
        <v>21.3</v>
      </c>
      <c r="Z46">
        <v>0</v>
      </c>
      <c r="AA46">
        <v>0</v>
      </c>
      <c r="AB46">
        <v>0</v>
      </c>
      <c r="AC46">
        <v>0</v>
      </c>
      <c r="AD46">
        <f t="shared" ca="1" si="0"/>
        <v>13</v>
      </c>
      <c r="AE46">
        <f>AVERAGE(Table1[[#This Row],[Runs Conceded]]/Table1[[#This Row],[Wickets Taken]])</f>
        <v>31.333333333333332</v>
      </c>
    </row>
    <row r="47" spans="1:31" x14ac:dyDescent="0.3">
      <c r="A47" t="s">
        <v>26</v>
      </c>
      <c r="B47" t="s">
        <v>73</v>
      </c>
      <c r="C47" t="s">
        <v>30</v>
      </c>
      <c r="D47">
        <v>3</v>
      </c>
      <c r="E47">
        <v>2</v>
      </c>
      <c r="F47">
        <v>0</v>
      </c>
      <c r="G47">
        <v>32</v>
      </c>
      <c r="H47">
        <v>31</v>
      </c>
      <c r="I47">
        <v>16</v>
      </c>
      <c r="J47">
        <v>27</v>
      </c>
      <c r="K47">
        <v>118.51</v>
      </c>
      <c r="L47">
        <v>0</v>
      </c>
      <c r="M47">
        <v>0</v>
      </c>
      <c r="N47">
        <v>0</v>
      </c>
      <c r="O47">
        <v>2</v>
      </c>
      <c r="P47">
        <v>1</v>
      </c>
      <c r="Q47">
        <v>2</v>
      </c>
      <c r="R47">
        <v>5</v>
      </c>
      <c r="S47">
        <v>0</v>
      </c>
      <c r="T47">
        <v>56</v>
      </c>
      <c r="U47">
        <v>0</v>
      </c>
      <c r="V47" t="s">
        <v>37</v>
      </c>
      <c r="W47" t="s">
        <v>37</v>
      </c>
      <c r="X47">
        <v>11.2</v>
      </c>
      <c r="Y47" t="s">
        <v>37</v>
      </c>
      <c r="Z47">
        <v>0</v>
      </c>
      <c r="AA47">
        <v>0</v>
      </c>
      <c r="AB47">
        <v>2</v>
      </c>
      <c r="AC47">
        <v>0</v>
      </c>
      <c r="AD47">
        <f t="shared" ca="1" si="0"/>
        <v>15</v>
      </c>
      <c r="AE47" t="e">
        <f>AVERAGE(Table1[[#This Row],[Runs Conceded]]/Table1[[#This Row],[Wickets Taken]])</f>
        <v>#DIV/0!</v>
      </c>
    </row>
    <row r="48" spans="1:31" x14ac:dyDescent="0.3">
      <c r="A48" t="s">
        <v>26</v>
      </c>
      <c r="B48" t="s">
        <v>74</v>
      </c>
      <c r="C48" t="s">
        <v>30</v>
      </c>
      <c r="D48">
        <v>12</v>
      </c>
      <c r="E48">
        <v>9</v>
      </c>
      <c r="F48">
        <v>4</v>
      </c>
      <c r="G48">
        <v>77</v>
      </c>
      <c r="H48">
        <v>24</v>
      </c>
      <c r="I48">
        <v>15.4</v>
      </c>
      <c r="J48">
        <v>53</v>
      </c>
      <c r="K48">
        <v>145.28</v>
      </c>
      <c r="L48">
        <v>0</v>
      </c>
      <c r="M48">
        <v>0</v>
      </c>
      <c r="N48">
        <v>0</v>
      </c>
      <c r="O48">
        <v>5</v>
      </c>
      <c r="P48">
        <v>4</v>
      </c>
      <c r="Q48">
        <v>12</v>
      </c>
      <c r="R48">
        <v>46.1</v>
      </c>
      <c r="S48">
        <v>0</v>
      </c>
      <c r="T48">
        <v>373</v>
      </c>
      <c r="U48">
        <v>15</v>
      </c>
      <c r="V48" s="1">
        <v>43862</v>
      </c>
      <c r="W48">
        <v>24.86</v>
      </c>
      <c r="X48">
        <v>8.07</v>
      </c>
      <c r="Y48">
        <v>18.399999999999999</v>
      </c>
      <c r="Z48">
        <v>0</v>
      </c>
      <c r="AA48">
        <v>0</v>
      </c>
      <c r="AB48">
        <v>1</v>
      </c>
      <c r="AC48">
        <v>0</v>
      </c>
      <c r="AD48">
        <f t="shared" ca="1" si="0"/>
        <v>18</v>
      </c>
      <c r="AE48">
        <f>AVERAGE(Table1[[#This Row],[Runs Conceded]]/Table1[[#This Row],[Wickets Taken]])</f>
        <v>24.866666666666667</v>
      </c>
    </row>
    <row r="49" spans="1:31" x14ac:dyDescent="0.3">
      <c r="A49" t="s">
        <v>26</v>
      </c>
      <c r="B49" t="s">
        <v>75</v>
      </c>
      <c r="C49" t="s">
        <v>30</v>
      </c>
      <c r="D49">
        <v>5</v>
      </c>
      <c r="E49">
        <v>4</v>
      </c>
      <c r="F49">
        <v>0</v>
      </c>
      <c r="G49">
        <v>29</v>
      </c>
      <c r="H49">
        <v>27</v>
      </c>
      <c r="I49">
        <v>7.25</v>
      </c>
      <c r="J49">
        <v>31</v>
      </c>
      <c r="K49">
        <v>93.54</v>
      </c>
      <c r="L49">
        <v>0</v>
      </c>
      <c r="M49">
        <v>0</v>
      </c>
      <c r="N49">
        <v>1</v>
      </c>
      <c r="O49">
        <v>1</v>
      </c>
      <c r="P49">
        <v>2</v>
      </c>
      <c r="Q49">
        <v>2</v>
      </c>
      <c r="R49">
        <v>3</v>
      </c>
      <c r="S49">
        <v>0</v>
      </c>
      <c r="T49">
        <v>34</v>
      </c>
      <c r="U49">
        <v>0</v>
      </c>
      <c r="V49" t="s">
        <v>37</v>
      </c>
      <c r="W49" t="s">
        <v>37</v>
      </c>
      <c r="X49">
        <v>11.33</v>
      </c>
      <c r="Y49" t="s">
        <v>37</v>
      </c>
      <c r="Z49">
        <v>0</v>
      </c>
      <c r="AA49">
        <v>0</v>
      </c>
      <c r="AB49">
        <v>1</v>
      </c>
      <c r="AC49">
        <v>0</v>
      </c>
      <c r="AD49">
        <f t="shared" ca="1" si="0"/>
        <v>13</v>
      </c>
      <c r="AE49" t="e">
        <f>AVERAGE(Table1[[#This Row],[Runs Conceded]]/Table1[[#This Row],[Wickets Taken]])</f>
        <v>#DIV/0!</v>
      </c>
    </row>
    <row r="50" spans="1:31" x14ac:dyDescent="0.3">
      <c r="A50" t="s">
        <v>26</v>
      </c>
      <c r="B50" t="s">
        <v>76</v>
      </c>
      <c r="C50" t="s">
        <v>30</v>
      </c>
      <c r="D50">
        <v>1</v>
      </c>
      <c r="E50">
        <v>1</v>
      </c>
      <c r="F50">
        <v>1</v>
      </c>
      <c r="G50">
        <v>12</v>
      </c>
      <c r="H50" t="s">
        <v>77</v>
      </c>
      <c r="I50" t="s">
        <v>37</v>
      </c>
      <c r="J50">
        <v>12</v>
      </c>
      <c r="K50">
        <v>100</v>
      </c>
      <c r="L50">
        <v>0</v>
      </c>
      <c r="M50">
        <v>0</v>
      </c>
      <c r="N50">
        <v>0</v>
      </c>
      <c r="O50">
        <v>1</v>
      </c>
      <c r="P50">
        <v>0</v>
      </c>
      <c r="Q50" t="s">
        <v>37</v>
      </c>
      <c r="R50" t="s">
        <v>37</v>
      </c>
      <c r="S50" t="s">
        <v>37</v>
      </c>
      <c r="T50" t="s">
        <v>37</v>
      </c>
      <c r="U50" t="s">
        <v>37</v>
      </c>
      <c r="V50" t="s">
        <v>37</v>
      </c>
      <c r="W50" t="s">
        <v>37</v>
      </c>
      <c r="X50" t="s">
        <v>37</v>
      </c>
      <c r="Y50" t="s">
        <v>37</v>
      </c>
      <c r="Z50" t="s">
        <v>37</v>
      </c>
      <c r="AA50" t="s">
        <v>37</v>
      </c>
      <c r="AB50">
        <v>0</v>
      </c>
      <c r="AC50">
        <v>0</v>
      </c>
      <c r="AD50">
        <f t="shared" ca="1" si="0"/>
        <v>7</v>
      </c>
      <c r="AE50" t="e">
        <f>AVERAGE(Table1[[#This Row],[Runs Conceded]]/Table1[[#This Row],[Wickets Taken]])</f>
        <v>#VALUE!</v>
      </c>
    </row>
    <row r="51" spans="1:31" x14ac:dyDescent="0.3">
      <c r="A51" t="s">
        <v>26</v>
      </c>
      <c r="B51" t="s">
        <v>78</v>
      </c>
      <c r="C51" t="s">
        <v>32</v>
      </c>
      <c r="D51">
        <v>8</v>
      </c>
      <c r="E51">
        <v>5</v>
      </c>
      <c r="F51">
        <v>2</v>
      </c>
      <c r="G51">
        <v>50</v>
      </c>
      <c r="H51">
        <v>24</v>
      </c>
      <c r="I51">
        <v>16.66</v>
      </c>
      <c r="J51">
        <v>43</v>
      </c>
      <c r="K51">
        <v>116.27</v>
      </c>
      <c r="L51">
        <v>0</v>
      </c>
      <c r="M51">
        <v>0</v>
      </c>
      <c r="N51">
        <v>0</v>
      </c>
      <c r="O51">
        <v>5</v>
      </c>
      <c r="P51">
        <v>1</v>
      </c>
      <c r="Q51">
        <v>8</v>
      </c>
      <c r="R51">
        <v>22</v>
      </c>
      <c r="S51">
        <v>0</v>
      </c>
      <c r="T51">
        <v>173</v>
      </c>
      <c r="U51">
        <v>6</v>
      </c>
      <c r="V51" s="1">
        <v>43160</v>
      </c>
      <c r="W51">
        <v>28.83</v>
      </c>
      <c r="X51">
        <v>7.86</v>
      </c>
      <c r="Y51">
        <v>22</v>
      </c>
      <c r="Z51">
        <v>0</v>
      </c>
      <c r="AA51">
        <v>0</v>
      </c>
      <c r="AB51">
        <v>2</v>
      </c>
      <c r="AC51">
        <v>0</v>
      </c>
      <c r="AD51">
        <f t="shared" ca="1" si="0"/>
        <v>8</v>
      </c>
      <c r="AE51">
        <f>AVERAGE(Table1[[#This Row],[Runs Conceded]]/Table1[[#This Row],[Wickets Taken]])</f>
        <v>28.833333333333332</v>
      </c>
    </row>
    <row r="52" spans="1:31" x14ac:dyDescent="0.3">
      <c r="A52" t="s">
        <v>26</v>
      </c>
      <c r="B52" t="s">
        <v>79</v>
      </c>
      <c r="C52" t="s">
        <v>32</v>
      </c>
      <c r="D52">
        <v>6</v>
      </c>
      <c r="E52" t="s">
        <v>37</v>
      </c>
      <c r="F52" t="s">
        <v>37</v>
      </c>
      <c r="G52" t="s">
        <v>37</v>
      </c>
      <c r="H52" t="s">
        <v>37</v>
      </c>
      <c r="I52" t="s">
        <v>37</v>
      </c>
      <c r="J52" t="s">
        <v>37</v>
      </c>
      <c r="K52" t="s">
        <v>37</v>
      </c>
      <c r="L52" t="s">
        <v>37</v>
      </c>
      <c r="M52" t="s">
        <v>37</v>
      </c>
      <c r="N52" t="s">
        <v>37</v>
      </c>
      <c r="O52" t="s">
        <v>37</v>
      </c>
      <c r="P52" t="s">
        <v>37</v>
      </c>
      <c r="Q52">
        <v>6</v>
      </c>
      <c r="R52">
        <v>19</v>
      </c>
      <c r="S52">
        <v>0</v>
      </c>
      <c r="T52">
        <v>204</v>
      </c>
      <c r="U52">
        <v>4</v>
      </c>
      <c r="V52" s="1">
        <v>47150</v>
      </c>
      <c r="W52">
        <v>51</v>
      </c>
      <c r="X52">
        <v>10.73</v>
      </c>
      <c r="Y52">
        <v>28.5</v>
      </c>
      <c r="Z52">
        <v>0</v>
      </c>
      <c r="AA52">
        <v>0</v>
      </c>
      <c r="AB52">
        <v>3</v>
      </c>
      <c r="AC52">
        <v>0</v>
      </c>
      <c r="AD52">
        <f t="shared" ca="1" si="0"/>
        <v>3</v>
      </c>
      <c r="AE52">
        <f>AVERAGE(Table1[[#This Row],[Runs Conceded]]/Table1[[#This Row],[Wickets Taken]])</f>
        <v>51</v>
      </c>
    </row>
    <row r="53" spans="1:31" x14ac:dyDescent="0.3">
      <c r="A53" t="s">
        <v>26</v>
      </c>
      <c r="B53" t="s">
        <v>80</v>
      </c>
      <c r="C53" t="s">
        <v>32</v>
      </c>
      <c r="D53">
        <v>13</v>
      </c>
      <c r="E53">
        <v>11</v>
      </c>
      <c r="F53">
        <v>7</v>
      </c>
      <c r="G53">
        <v>212</v>
      </c>
      <c r="H53" t="s">
        <v>81</v>
      </c>
      <c r="I53">
        <v>53</v>
      </c>
      <c r="J53">
        <v>148</v>
      </c>
      <c r="K53">
        <v>143.24</v>
      </c>
      <c r="L53">
        <v>0</v>
      </c>
      <c r="M53">
        <v>1</v>
      </c>
      <c r="N53">
        <v>0</v>
      </c>
      <c r="O53">
        <v>11</v>
      </c>
      <c r="P53">
        <v>11</v>
      </c>
      <c r="Q53">
        <v>4</v>
      </c>
      <c r="R53">
        <v>5</v>
      </c>
      <c r="S53">
        <v>0</v>
      </c>
      <c r="T53">
        <v>58</v>
      </c>
      <c r="U53">
        <v>1</v>
      </c>
      <c r="V53" s="1">
        <v>44562</v>
      </c>
      <c r="W53">
        <v>58</v>
      </c>
      <c r="X53">
        <v>11.6</v>
      </c>
      <c r="Y53">
        <v>30</v>
      </c>
      <c r="Z53">
        <v>0</v>
      </c>
      <c r="AA53">
        <v>0</v>
      </c>
      <c r="AB53">
        <v>6</v>
      </c>
      <c r="AC53">
        <v>0</v>
      </c>
      <c r="AD53">
        <f t="shared" ca="1" si="0"/>
        <v>8</v>
      </c>
      <c r="AE53">
        <f>AVERAGE(Table1[[#This Row],[Runs Conceded]]/Table1[[#This Row],[Wickets Taken]])</f>
        <v>58</v>
      </c>
    </row>
    <row r="54" spans="1:31" x14ac:dyDescent="0.3">
      <c r="A54" t="s">
        <v>26</v>
      </c>
      <c r="B54" t="s">
        <v>82</v>
      </c>
      <c r="C54" t="s">
        <v>32</v>
      </c>
      <c r="D54">
        <v>5</v>
      </c>
      <c r="E54">
        <v>5</v>
      </c>
      <c r="F54">
        <v>1</v>
      </c>
      <c r="G54">
        <v>120</v>
      </c>
      <c r="H54" t="s">
        <v>83</v>
      </c>
      <c r="I54">
        <v>30</v>
      </c>
      <c r="J54">
        <v>94</v>
      </c>
      <c r="K54">
        <v>127.65</v>
      </c>
      <c r="L54">
        <v>0</v>
      </c>
      <c r="M54">
        <v>1</v>
      </c>
      <c r="N54">
        <v>0</v>
      </c>
      <c r="O54">
        <v>9</v>
      </c>
      <c r="P54">
        <v>7</v>
      </c>
      <c r="Q54" t="s">
        <v>37</v>
      </c>
      <c r="R54" t="s">
        <v>37</v>
      </c>
      <c r="S54" t="s">
        <v>37</v>
      </c>
      <c r="T54" t="s">
        <v>37</v>
      </c>
      <c r="U54" t="s">
        <v>37</v>
      </c>
      <c r="V54" t="s">
        <v>37</v>
      </c>
      <c r="W54" t="s">
        <v>37</v>
      </c>
      <c r="X54" t="s">
        <v>37</v>
      </c>
      <c r="Y54" t="s">
        <v>37</v>
      </c>
      <c r="Z54" t="s">
        <v>37</v>
      </c>
      <c r="AA54" t="s">
        <v>37</v>
      </c>
      <c r="AB54">
        <v>4</v>
      </c>
      <c r="AC54">
        <v>0</v>
      </c>
      <c r="AD54">
        <f t="shared" ca="1" si="0"/>
        <v>11</v>
      </c>
      <c r="AE54" t="e">
        <f>AVERAGE(Table1[[#This Row],[Runs Conceded]]/Table1[[#This Row],[Wickets Taken]])</f>
        <v>#VALUE!</v>
      </c>
    </row>
    <row r="55" spans="1:31" x14ac:dyDescent="0.3">
      <c r="A55" t="s">
        <v>26</v>
      </c>
      <c r="B55" t="s">
        <v>84</v>
      </c>
      <c r="C55" t="s">
        <v>32</v>
      </c>
      <c r="D55">
        <v>4</v>
      </c>
      <c r="E55">
        <v>3</v>
      </c>
      <c r="F55">
        <v>1</v>
      </c>
      <c r="G55">
        <v>26</v>
      </c>
      <c r="H55">
        <v>13</v>
      </c>
      <c r="I55">
        <v>13</v>
      </c>
      <c r="J55">
        <v>33</v>
      </c>
      <c r="K55">
        <v>78.78</v>
      </c>
      <c r="L55">
        <v>0</v>
      </c>
      <c r="M55">
        <v>0</v>
      </c>
      <c r="N55">
        <v>0</v>
      </c>
      <c r="O55">
        <v>0</v>
      </c>
      <c r="P55">
        <v>1</v>
      </c>
      <c r="Q55">
        <v>4</v>
      </c>
      <c r="R55">
        <v>11.5</v>
      </c>
      <c r="S55">
        <v>0</v>
      </c>
      <c r="T55">
        <v>101</v>
      </c>
      <c r="U55">
        <v>4</v>
      </c>
      <c r="V55" s="1">
        <v>12816</v>
      </c>
      <c r="W55">
        <v>25.25</v>
      </c>
      <c r="X55">
        <v>8.5299999999999994</v>
      </c>
      <c r="Y55">
        <v>17.7</v>
      </c>
      <c r="Z55">
        <v>0</v>
      </c>
      <c r="AA55">
        <v>0</v>
      </c>
      <c r="AB55">
        <v>0</v>
      </c>
      <c r="AC55">
        <v>0</v>
      </c>
      <c r="AD55">
        <f t="shared" ca="1" si="0"/>
        <v>4</v>
      </c>
      <c r="AE55">
        <f>AVERAGE(Table1[[#This Row],[Runs Conceded]]/Table1[[#This Row],[Wickets Taken]])</f>
        <v>25.25</v>
      </c>
    </row>
    <row r="56" spans="1:31" x14ac:dyDescent="0.3">
      <c r="A56" t="s">
        <v>26</v>
      </c>
      <c r="B56" t="s">
        <v>85</v>
      </c>
      <c r="C56" t="s">
        <v>32</v>
      </c>
      <c r="D56">
        <v>3</v>
      </c>
      <c r="E56">
        <v>3</v>
      </c>
      <c r="F56">
        <v>2</v>
      </c>
      <c r="G56">
        <v>63</v>
      </c>
      <c r="H56" t="s">
        <v>86</v>
      </c>
      <c r="I56">
        <v>63</v>
      </c>
      <c r="J56">
        <v>33</v>
      </c>
      <c r="K56">
        <v>190.9</v>
      </c>
      <c r="L56">
        <v>0</v>
      </c>
      <c r="M56">
        <v>0</v>
      </c>
      <c r="N56">
        <v>0</v>
      </c>
      <c r="O56">
        <v>3</v>
      </c>
      <c r="P56">
        <v>5</v>
      </c>
      <c r="Q56" t="s">
        <v>37</v>
      </c>
      <c r="R56" t="s">
        <v>37</v>
      </c>
      <c r="S56" t="s">
        <v>37</v>
      </c>
      <c r="T56" t="s">
        <v>37</v>
      </c>
      <c r="U56" t="s">
        <v>37</v>
      </c>
      <c r="V56" t="s">
        <v>37</v>
      </c>
      <c r="W56" t="s">
        <v>37</v>
      </c>
      <c r="X56" t="s">
        <v>37</v>
      </c>
      <c r="Y56" t="s">
        <v>37</v>
      </c>
      <c r="Z56" t="s">
        <v>37</v>
      </c>
      <c r="AA56" t="s">
        <v>37</v>
      </c>
      <c r="AB56">
        <v>1</v>
      </c>
      <c r="AC56">
        <v>0</v>
      </c>
      <c r="AD56">
        <f t="shared" ca="1" si="0"/>
        <v>16</v>
      </c>
      <c r="AE56" t="e">
        <f>AVERAGE(Table1[[#This Row],[Runs Conceded]]/Table1[[#This Row],[Wickets Taken]])</f>
        <v>#VALUE!</v>
      </c>
    </row>
    <row r="57" spans="1:31" x14ac:dyDescent="0.3">
      <c r="A57" t="s">
        <v>26</v>
      </c>
      <c r="B57" t="s">
        <v>87</v>
      </c>
      <c r="C57" t="s">
        <v>32</v>
      </c>
      <c r="D57">
        <v>9</v>
      </c>
      <c r="E57">
        <v>9</v>
      </c>
      <c r="F57">
        <v>0</v>
      </c>
      <c r="G57">
        <v>245</v>
      </c>
      <c r="H57">
        <v>65</v>
      </c>
      <c r="I57">
        <v>27.22</v>
      </c>
      <c r="J57">
        <v>160</v>
      </c>
      <c r="K57">
        <v>153.12</v>
      </c>
      <c r="L57">
        <v>0</v>
      </c>
      <c r="M57">
        <v>2</v>
      </c>
      <c r="N57">
        <v>0</v>
      </c>
      <c r="O57">
        <v>27</v>
      </c>
      <c r="P57">
        <v>10</v>
      </c>
      <c r="Q57" t="s">
        <v>37</v>
      </c>
      <c r="R57" t="s">
        <v>37</v>
      </c>
      <c r="S57" t="s">
        <v>37</v>
      </c>
      <c r="T57" t="s">
        <v>37</v>
      </c>
      <c r="U57" t="s">
        <v>37</v>
      </c>
      <c r="V57" t="s">
        <v>37</v>
      </c>
      <c r="W57" t="s">
        <v>37</v>
      </c>
      <c r="X57" t="s">
        <v>37</v>
      </c>
      <c r="Y57" t="s">
        <v>37</v>
      </c>
      <c r="Z57" t="s">
        <v>37</v>
      </c>
      <c r="AA57" t="s">
        <v>37</v>
      </c>
      <c r="AB57">
        <v>4</v>
      </c>
      <c r="AC57">
        <v>0</v>
      </c>
      <c r="AD57">
        <f t="shared" ca="1" si="0"/>
        <v>9</v>
      </c>
      <c r="AE57" t="e">
        <f>AVERAGE(Table1[[#This Row],[Runs Conceded]]/Table1[[#This Row],[Wickets Taken]])</f>
        <v>#VALUE!</v>
      </c>
    </row>
    <row r="58" spans="1:31" x14ac:dyDescent="0.3">
      <c r="A58" t="s">
        <v>26</v>
      </c>
      <c r="B58" t="s">
        <v>88</v>
      </c>
      <c r="C58" t="s">
        <v>32</v>
      </c>
      <c r="D58">
        <v>7</v>
      </c>
      <c r="E58">
        <v>2</v>
      </c>
      <c r="F58">
        <v>1</v>
      </c>
      <c r="G58">
        <v>1</v>
      </c>
      <c r="H58" t="s">
        <v>55</v>
      </c>
      <c r="I58">
        <v>1</v>
      </c>
      <c r="J58">
        <v>3</v>
      </c>
      <c r="K58">
        <v>33.33</v>
      </c>
      <c r="L58">
        <v>0</v>
      </c>
      <c r="M58">
        <v>0</v>
      </c>
      <c r="N58">
        <v>1</v>
      </c>
      <c r="O58">
        <v>0</v>
      </c>
      <c r="P58">
        <v>0</v>
      </c>
      <c r="Q58">
        <v>7</v>
      </c>
      <c r="R58">
        <v>25</v>
      </c>
      <c r="S58">
        <v>0</v>
      </c>
      <c r="T58">
        <v>225</v>
      </c>
      <c r="U58">
        <v>4</v>
      </c>
      <c r="V58" s="1">
        <v>42795</v>
      </c>
      <c r="W58">
        <v>56.25</v>
      </c>
      <c r="X58">
        <v>9</v>
      </c>
      <c r="Y58">
        <v>37.5</v>
      </c>
      <c r="Z58">
        <v>0</v>
      </c>
      <c r="AA58">
        <v>0</v>
      </c>
      <c r="AB58">
        <v>2</v>
      </c>
      <c r="AC58">
        <v>0</v>
      </c>
      <c r="AD58">
        <f t="shared" ca="1" si="0"/>
        <v>16</v>
      </c>
      <c r="AE58">
        <f>AVERAGE(Table1[[#This Row],[Runs Conceded]]/Table1[[#This Row],[Wickets Taken]])</f>
        <v>56.25</v>
      </c>
    </row>
    <row r="59" spans="1:31" x14ac:dyDescent="0.3">
      <c r="A59" t="s">
        <v>26</v>
      </c>
      <c r="B59" t="s">
        <v>89</v>
      </c>
      <c r="C59" t="s">
        <v>32</v>
      </c>
      <c r="D59">
        <v>1</v>
      </c>
      <c r="E59" t="s">
        <v>37</v>
      </c>
      <c r="F59" t="s">
        <v>37</v>
      </c>
      <c r="G59" t="s">
        <v>37</v>
      </c>
      <c r="H59" t="s">
        <v>37</v>
      </c>
      <c r="I59" t="s">
        <v>37</v>
      </c>
      <c r="J59" t="s">
        <v>37</v>
      </c>
      <c r="K59" t="s">
        <v>37</v>
      </c>
      <c r="L59" t="s">
        <v>37</v>
      </c>
      <c r="M59" t="s">
        <v>37</v>
      </c>
      <c r="N59" t="s">
        <v>37</v>
      </c>
      <c r="O59" t="s">
        <v>37</v>
      </c>
      <c r="P59" t="s">
        <v>37</v>
      </c>
      <c r="Q59">
        <v>1</v>
      </c>
      <c r="R59">
        <v>3</v>
      </c>
      <c r="S59">
        <v>0</v>
      </c>
      <c r="T59">
        <v>34</v>
      </c>
      <c r="U59">
        <v>0</v>
      </c>
      <c r="V59" t="s">
        <v>37</v>
      </c>
      <c r="W59" t="s">
        <v>37</v>
      </c>
      <c r="X59">
        <v>11.33</v>
      </c>
      <c r="Y59" t="s">
        <v>37</v>
      </c>
      <c r="Z59">
        <v>0</v>
      </c>
      <c r="AA59">
        <v>0</v>
      </c>
      <c r="AB59">
        <v>0</v>
      </c>
      <c r="AC59">
        <v>0</v>
      </c>
      <c r="AD59">
        <f t="shared" ca="1" si="0"/>
        <v>12</v>
      </c>
      <c r="AE59" t="e">
        <f>AVERAGE(Table1[[#This Row],[Runs Conceded]]/Table1[[#This Row],[Wickets Taken]])</f>
        <v>#DIV/0!</v>
      </c>
    </row>
    <row r="60" spans="1:31" x14ac:dyDescent="0.3">
      <c r="A60" t="s">
        <v>26</v>
      </c>
      <c r="B60" t="s">
        <v>90</v>
      </c>
      <c r="C60" t="s">
        <v>32</v>
      </c>
      <c r="D60">
        <v>3</v>
      </c>
      <c r="E60" t="s">
        <v>37</v>
      </c>
      <c r="F60" t="s">
        <v>37</v>
      </c>
      <c r="G60" t="s">
        <v>37</v>
      </c>
      <c r="H60" t="s">
        <v>37</v>
      </c>
      <c r="I60" t="s">
        <v>37</v>
      </c>
      <c r="J60" t="s">
        <v>37</v>
      </c>
      <c r="K60" t="s">
        <v>37</v>
      </c>
      <c r="L60" t="s">
        <v>37</v>
      </c>
      <c r="M60" t="s">
        <v>37</v>
      </c>
      <c r="N60" t="s">
        <v>37</v>
      </c>
      <c r="O60" t="s">
        <v>37</v>
      </c>
      <c r="P60" t="s">
        <v>37</v>
      </c>
      <c r="Q60">
        <v>3</v>
      </c>
      <c r="R60">
        <v>12</v>
      </c>
      <c r="S60">
        <v>0</v>
      </c>
      <c r="T60">
        <v>82</v>
      </c>
      <c r="U60">
        <v>5</v>
      </c>
      <c r="V60" s="1">
        <v>13210</v>
      </c>
      <c r="W60">
        <v>16.399999999999999</v>
      </c>
      <c r="X60">
        <v>6.83</v>
      </c>
      <c r="Y60">
        <v>14.4</v>
      </c>
      <c r="Z60">
        <v>0</v>
      </c>
      <c r="AA60">
        <v>0</v>
      </c>
      <c r="AB60">
        <v>0</v>
      </c>
      <c r="AC60">
        <v>0</v>
      </c>
      <c r="AD60">
        <f t="shared" ca="1" si="0"/>
        <v>14</v>
      </c>
      <c r="AE60">
        <f>AVERAGE(Table1[[#This Row],[Runs Conceded]]/Table1[[#This Row],[Wickets Taken]])</f>
        <v>16.399999999999999</v>
      </c>
    </row>
    <row r="61" spans="1:31" x14ac:dyDescent="0.3">
      <c r="A61" t="s">
        <v>91</v>
      </c>
      <c r="B61" t="s">
        <v>38</v>
      </c>
      <c r="C61" t="s">
        <v>32</v>
      </c>
      <c r="D61">
        <v>13</v>
      </c>
      <c r="E61">
        <v>12</v>
      </c>
      <c r="F61">
        <v>0</v>
      </c>
      <c r="G61">
        <v>301</v>
      </c>
      <c r="H61">
        <v>54</v>
      </c>
      <c r="I61">
        <v>25.08</v>
      </c>
      <c r="J61">
        <v>221</v>
      </c>
      <c r="K61">
        <v>136.19</v>
      </c>
      <c r="L61">
        <v>0</v>
      </c>
      <c r="M61">
        <v>2</v>
      </c>
      <c r="N61">
        <v>0</v>
      </c>
      <c r="O61">
        <v>23</v>
      </c>
      <c r="P61">
        <v>13</v>
      </c>
      <c r="Q61" t="s">
        <v>37</v>
      </c>
      <c r="R61" t="s">
        <v>37</v>
      </c>
      <c r="S61" t="s">
        <v>37</v>
      </c>
      <c r="T61" t="s">
        <v>37</v>
      </c>
      <c r="U61" t="s">
        <v>37</v>
      </c>
      <c r="V61" t="s">
        <v>37</v>
      </c>
      <c r="W61" t="s">
        <v>37</v>
      </c>
      <c r="X61" t="s">
        <v>37</v>
      </c>
      <c r="Y61" t="s">
        <v>37</v>
      </c>
      <c r="Z61" t="s">
        <v>37</v>
      </c>
      <c r="AA61" t="s">
        <v>37</v>
      </c>
      <c r="AB61">
        <v>9</v>
      </c>
      <c r="AC61">
        <v>0</v>
      </c>
      <c r="AD61">
        <f t="shared" ca="1" si="0"/>
        <v>13</v>
      </c>
      <c r="AE61" t="e">
        <f>AVERAGE(Table1[[#This Row],[Runs Conceded]]/Table1[[#This Row],[Wickets Taken]])</f>
        <v>#VALUE!</v>
      </c>
    </row>
    <row r="62" spans="1:31" x14ac:dyDescent="0.3">
      <c r="A62" t="s">
        <v>91</v>
      </c>
      <c r="B62" t="s">
        <v>38</v>
      </c>
      <c r="C62" t="s">
        <v>92</v>
      </c>
      <c r="D62">
        <v>1</v>
      </c>
      <c r="E62">
        <v>1</v>
      </c>
      <c r="F62">
        <v>0</v>
      </c>
      <c r="G62">
        <v>5</v>
      </c>
      <c r="H62">
        <v>5</v>
      </c>
      <c r="I62">
        <v>5</v>
      </c>
      <c r="J62">
        <v>6</v>
      </c>
      <c r="K62">
        <v>83.33</v>
      </c>
      <c r="L62">
        <v>0</v>
      </c>
      <c r="M62">
        <v>0</v>
      </c>
      <c r="N62">
        <v>0</v>
      </c>
      <c r="O62">
        <v>0</v>
      </c>
      <c r="P62">
        <v>0</v>
      </c>
      <c r="Q62" t="s">
        <v>37</v>
      </c>
      <c r="R62" t="s">
        <v>37</v>
      </c>
      <c r="S62" t="s">
        <v>37</v>
      </c>
      <c r="T62" t="s">
        <v>37</v>
      </c>
      <c r="U62" t="s">
        <v>37</v>
      </c>
      <c r="V62" t="s">
        <v>37</v>
      </c>
      <c r="W62" t="s">
        <v>37</v>
      </c>
      <c r="X62" t="s">
        <v>37</v>
      </c>
      <c r="Y62" t="s">
        <v>37</v>
      </c>
      <c r="Z62" t="s">
        <v>37</v>
      </c>
      <c r="AA62" t="s">
        <v>37</v>
      </c>
      <c r="AB62">
        <v>0</v>
      </c>
      <c r="AC62">
        <v>0</v>
      </c>
      <c r="AD62">
        <f t="shared" ca="1" si="0"/>
        <v>16</v>
      </c>
      <c r="AE62" t="e">
        <f>AVERAGE(Table1[[#This Row],[Runs Conceded]]/Table1[[#This Row],[Wickets Taken]])</f>
        <v>#VALUE!</v>
      </c>
    </row>
    <row r="63" spans="1:31" x14ac:dyDescent="0.3">
      <c r="A63" t="s">
        <v>91</v>
      </c>
      <c r="B63" t="s">
        <v>47</v>
      </c>
      <c r="C63" t="s">
        <v>32</v>
      </c>
      <c r="D63">
        <v>11</v>
      </c>
      <c r="E63">
        <v>11</v>
      </c>
      <c r="F63">
        <v>1</v>
      </c>
      <c r="G63">
        <v>120</v>
      </c>
      <c r="H63">
        <v>30</v>
      </c>
      <c r="I63">
        <v>12</v>
      </c>
      <c r="J63">
        <v>94</v>
      </c>
      <c r="K63">
        <v>127.65</v>
      </c>
      <c r="L63">
        <v>0</v>
      </c>
      <c r="M63">
        <v>0</v>
      </c>
      <c r="N63">
        <v>1</v>
      </c>
      <c r="O63">
        <v>9</v>
      </c>
      <c r="P63">
        <v>5</v>
      </c>
      <c r="Q63" t="s">
        <v>37</v>
      </c>
      <c r="R63" t="s">
        <v>37</v>
      </c>
      <c r="S63" t="s">
        <v>37</v>
      </c>
      <c r="T63" t="s">
        <v>37</v>
      </c>
      <c r="U63" t="s">
        <v>37</v>
      </c>
      <c r="V63" t="s">
        <v>37</v>
      </c>
      <c r="W63" t="s">
        <v>37</v>
      </c>
      <c r="X63" t="s">
        <v>37</v>
      </c>
      <c r="Y63" t="s">
        <v>37</v>
      </c>
      <c r="Z63" t="s">
        <v>37</v>
      </c>
      <c r="AA63" t="s">
        <v>37</v>
      </c>
      <c r="AB63">
        <v>2</v>
      </c>
      <c r="AC63">
        <v>0</v>
      </c>
      <c r="AD63">
        <f t="shared" ca="1" si="0"/>
        <v>4</v>
      </c>
      <c r="AE63" t="e">
        <f>AVERAGE(Table1[[#This Row],[Runs Conceded]]/Table1[[#This Row],[Wickets Taken]])</f>
        <v>#VALUE!</v>
      </c>
    </row>
    <row r="64" spans="1:31" x14ac:dyDescent="0.3">
      <c r="A64" t="s">
        <v>91</v>
      </c>
      <c r="B64" t="s">
        <v>47</v>
      </c>
      <c r="C64" t="s">
        <v>92</v>
      </c>
      <c r="D64">
        <v>13</v>
      </c>
      <c r="E64">
        <v>13</v>
      </c>
      <c r="F64">
        <v>0</v>
      </c>
      <c r="G64">
        <v>332</v>
      </c>
      <c r="H64">
        <v>58</v>
      </c>
      <c r="I64">
        <v>25.53</v>
      </c>
      <c r="J64">
        <v>234</v>
      </c>
      <c r="K64">
        <v>141.88</v>
      </c>
      <c r="L64">
        <v>0</v>
      </c>
      <c r="M64">
        <v>2</v>
      </c>
      <c r="N64">
        <v>1</v>
      </c>
      <c r="O64">
        <v>26</v>
      </c>
      <c r="P64">
        <v>14</v>
      </c>
      <c r="Q64" t="s">
        <v>37</v>
      </c>
      <c r="R64" t="s">
        <v>37</v>
      </c>
      <c r="S64" t="s">
        <v>37</v>
      </c>
      <c r="T64" t="s">
        <v>37</v>
      </c>
      <c r="U64" t="s">
        <v>37</v>
      </c>
      <c r="V64" t="s">
        <v>37</v>
      </c>
      <c r="W64" t="s">
        <v>37</v>
      </c>
      <c r="X64" t="s">
        <v>37</v>
      </c>
      <c r="Y64" t="s">
        <v>37</v>
      </c>
      <c r="Z64" t="s">
        <v>37</v>
      </c>
      <c r="AA64" t="s">
        <v>37</v>
      </c>
      <c r="AB64">
        <v>7</v>
      </c>
      <c r="AC64">
        <v>0</v>
      </c>
      <c r="AD64">
        <f t="shared" ca="1" si="0"/>
        <v>11</v>
      </c>
      <c r="AE64" t="e">
        <f>AVERAGE(Table1[[#This Row],[Runs Conceded]]/Table1[[#This Row],[Wickets Taken]])</f>
        <v>#VALUE!</v>
      </c>
    </row>
    <row r="65" spans="1:31" x14ac:dyDescent="0.3">
      <c r="A65" t="s">
        <v>91</v>
      </c>
      <c r="B65" t="s">
        <v>58</v>
      </c>
      <c r="C65" t="s">
        <v>92</v>
      </c>
      <c r="D65">
        <v>14</v>
      </c>
      <c r="E65">
        <v>2</v>
      </c>
      <c r="F65">
        <v>1</v>
      </c>
      <c r="G65">
        <v>1</v>
      </c>
      <c r="H65" t="s">
        <v>55</v>
      </c>
      <c r="I65">
        <v>1</v>
      </c>
      <c r="J65">
        <v>2</v>
      </c>
      <c r="K65">
        <v>50</v>
      </c>
      <c r="L65">
        <v>0</v>
      </c>
      <c r="M65">
        <v>0</v>
      </c>
      <c r="N65">
        <v>1</v>
      </c>
      <c r="O65">
        <v>0</v>
      </c>
      <c r="P65">
        <v>0</v>
      </c>
      <c r="Q65">
        <v>14</v>
      </c>
      <c r="R65">
        <v>54</v>
      </c>
      <c r="S65">
        <v>0</v>
      </c>
      <c r="T65">
        <v>469</v>
      </c>
      <c r="U65">
        <v>19</v>
      </c>
      <c r="V65" s="1">
        <v>44256</v>
      </c>
      <c r="W65">
        <v>24.68</v>
      </c>
      <c r="X65">
        <v>8.68</v>
      </c>
      <c r="Y65">
        <v>17</v>
      </c>
      <c r="Z65">
        <v>0</v>
      </c>
      <c r="AA65">
        <v>0</v>
      </c>
      <c r="AB65">
        <v>5</v>
      </c>
      <c r="AC65">
        <v>0</v>
      </c>
      <c r="AD65">
        <f t="shared" ca="1" si="0"/>
        <v>5</v>
      </c>
      <c r="AE65">
        <f>AVERAGE(Table1[[#This Row],[Runs Conceded]]/Table1[[#This Row],[Wickets Taken]])</f>
        <v>24.684210526315791</v>
      </c>
    </row>
    <row r="66" spans="1:31" x14ac:dyDescent="0.3">
      <c r="A66" t="s">
        <v>91</v>
      </c>
      <c r="B66" t="s">
        <v>93</v>
      </c>
      <c r="C66" t="s">
        <v>28</v>
      </c>
      <c r="D66">
        <v>7</v>
      </c>
      <c r="E66">
        <v>5</v>
      </c>
      <c r="F66">
        <v>1</v>
      </c>
      <c r="G66">
        <v>146</v>
      </c>
      <c r="H66">
        <v>52</v>
      </c>
      <c r="I66">
        <v>36.5</v>
      </c>
      <c r="J66">
        <v>108</v>
      </c>
      <c r="K66">
        <v>135.18</v>
      </c>
      <c r="L66">
        <v>0</v>
      </c>
      <c r="M66">
        <v>1</v>
      </c>
      <c r="N66">
        <v>1</v>
      </c>
      <c r="O66">
        <v>13</v>
      </c>
      <c r="P66">
        <v>4</v>
      </c>
      <c r="Q66">
        <v>7</v>
      </c>
      <c r="R66">
        <v>23</v>
      </c>
      <c r="S66">
        <v>0</v>
      </c>
      <c r="T66">
        <v>194</v>
      </c>
      <c r="U66">
        <v>8</v>
      </c>
      <c r="V66" s="1">
        <v>42095</v>
      </c>
      <c r="W66">
        <v>24.25</v>
      </c>
      <c r="X66">
        <v>8.43</v>
      </c>
      <c r="Y66">
        <v>17.2</v>
      </c>
      <c r="Z66">
        <v>1</v>
      </c>
      <c r="AA66">
        <v>0</v>
      </c>
      <c r="AB66">
        <v>0</v>
      </c>
      <c r="AC66">
        <v>0</v>
      </c>
      <c r="AD66">
        <f t="shared" ref="AD66:AD129" ca="1" si="1">RANDBETWEEN(3,18)</f>
        <v>8</v>
      </c>
      <c r="AE66">
        <f>AVERAGE(Table1[[#This Row],[Runs Conceded]]/Table1[[#This Row],[Wickets Taken]])</f>
        <v>24.25</v>
      </c>
    </row>
    <row r="67" spans="1:31" x14ac:dyDescent="0.3">
      <c r="A67" t="s">
        <v>91</v>
      </c>
      <c r="B67" t="s">
        <v>93</v>
      </c>
      <c r="C67" t="s">
        <v>30</v>
      </c>
      <c r="D67">
        <v>5</v>
      </c>
      <c r="E67">
        <v>3</v>
      </c>
      <c r="F67">
        <v>0</v>
      </c>
      <c r="G67">
        <v>17</v>
      </c>
      <c r="H67">
        <v>9</v>
      </c>
      <c r="I67">
        <v>5.66</v>
      </c>
      <c r="J67">
        <v>24</v>
      </c>
      <c r="K67">
        <v>70.83</v>
      </c>
      <c r="L67">
        <v>0</v>
      </c>
      <c r="M67">
        <v>0</v>
      </c>
      <c r="N67">
        <v>0</v>
      </c>
      <c r="O67">
        <v>1</v>
      </c>
      <c r="P67">
        <v>0</v>
      </c>
      <c r="Q67">
        <v>5</v>
      </c>
      <c r="R67">
        <v>10.3</v>
      </c>
      <c r="S67">
        <v>0</v>
      </c>
      <c r="T67">
        <v>110</v>
      </c>
      <c r="U67">
        <v>2</v>
      </c>
      <c r="V67" s="1">
        <v>46753</v>
      </c>
      <c r="W67">
        <v>55</v>
      </c>
      <c r="X67">
        <v>10.47</v>
      </c>
      <c r="Y67">
        <v>31.5</v>
      </c>
      <c r="Z67">
        <v>0</v>
      </c>
      <c r="AA67">
        <v>0</v>
      </c>
      <c r="AB67">
        <v>3</v>
      </c>
      <c r="AC67">
        <v>0</v>
      </c>
      <c r="AD67">
        <f t="shared" ca="1" si="1"/>
        <v>11</v>
      </c>
      <c r="AE67">
        <f>AVERAGE(Table1[[#This Row],[Runs Conceded]]/Table1[[#This Row],[Wickets Taken]])</f>
        <v>55</v>
      </c>
    </row>
    <row r="68" spans="1:31" x14ac:dyDescent="0.3">
      <c r="A68" t="s">
        <v>91</v>
      </c>
      <c r="B68" t="s">
        <v>93</v>
      </c>
      <c r="C68" t="s">
        <v>32</v>
      </c>
      <c r="D68">
        <v>7</v>
      </c>
      <c r="E68">
        <v>7</v>
      </c>
      <c r="F68">
        <v>3</v>
      </c>
      <c r="G68">
        <v>99</v>
      </c>
      <c r="H68" t="s">
        <v>94</v>
      </c>
      <c r="I68">
        <v>24.75</v>
      </c>
      <c r="J68">
        <v>76</v>
      </c>
      <c r="K68">
        <v>130.26</v>
      </c>
      <c r="L68">
        <v>0</v>
      </c>
      <c r="M68">
        <v>0</v>
      </c>
      <c r="N68">
        <v>0</v>
      </c>
      <c r="O68">
        <v>6</v>
      </c>
      <c r="P68">
        <v>4</v>
      </c>
      <c r="Q68">
        <v>6</v>
      </c>
      <c r="R68">
        <v>11</v>
      </c>
      <c r="S68">
        <v>0</v>
      </c>
      <c r="T68">
        <v>120</v>
      </c>
      <c r="U68">
        <v>3</v>
      </c>
      <c r="V68" s="1">
        <v>42005</v>
      </c>
      <c r="W68">
        <v>40</v>
      </c>
      <c r="X68">
        <v>10.9</v>
      </c>
      <c r="Y68">
        <v>22</v>
      </c>
      <c r="Z68">
        <v>0</v>
      </c>
      <c r="AA68">
        <v>0</v>
      </c>
      <c r="AB68">
        <v>2</v>
      </c>
      <c r="AC68">
        <v>0</v>
      </c>
      <c r="AD68">
        <f t="shared" ca="1" si="1"/>
        <v>16</v>
      </c>
      <c r="AE68">
        <f>AVERAGE(Table1[[#This Row],[Runs Conceded]]/Table1[[#This Row],[Wickets Taken]])</f>
        <v>40</v>
      </c>
    </row>
    <row r="69" spans="1:31" x14ac:dyDescent="0.3">
      <c r="A69" t="s">
        <v>91</v>
      </c>
      <c r="B69" t="s">
        <v>95</v>
      </c>
      <c r="C69" t="s">
        <v>28</v>
      </c>
      <c r="D69">
        <v>14</v>
      </c>
      <c r="E69">
        <v>14</v>
      </c>
      <c r="F69">
        <v>1</v>
      </c>
      <c r="G69">
        <v>453</v>
      </c>
      <c r="H69">
        <v>89</v>
      </c>
      <c r="I69">
        <v>34.840000000000003</v>
      </c>
      <c r="J69">
        <v>364</v>
      </c>
      <c r="K69">
        <v>124.45</v>
      </c>
      <c r="L69">
        <v>0</v>
      </c>
      <c r="M69">
        <v>5</v>
      </c>
      <c r="N69">
        <v>0</v>
      </c>
      <c r="O69">
        <v>50</v>
      </c>
      <c r="P69">
        <v>10</v>
      </c>
      <c r="Q69">
        <v>1</v>
      </c>
      <c r="R69">
        <v>1</v>
      </c>
      <c r="S69">
        <v>0</v>
      </c>
      <c r="T69">
        <v>8</v>
      </c>
      <c r="U69">
        <v>0</v>
      </c>
      <c r="V69" t="s">
        <v>37</v>
      </c>
      <c r="W69" t="s">
        <v>37</v>
      </c>
      <c r="X69">
        <v>8</v>
      </c>
      <c r="Y69" t="s">
        <v>37</v>
      </c>
      <c r="Z69">
        <v>0</v>
      </c>
      <c r="AA69">
        <v>0</v>
      </c>
      <c r="AB69">
        <v>2</v>
      </c>
      <c r="AC69">
        <v>0</v>
      </c>
      <c r="AD69">
        <f t="shared" ca="1" si="1"/>
        <v>17</v>
      </c>
      <c r="AE69" t="e">
        <f>AVERAGE(Table1[[#This Row],[Runs Conceded]]/Table1[[#This Row],[Wickets Taken]])</f>
        <v>#DIV/0!</v>
      </c>
    </row>
    <row r="70" spans="1:31" x14ac:dyDescent="0.3">
      <c r="A70" t="s">
        <v>91</v>
      </c>
      <c r="B70" t="s">
        <v>96</v>
      </c>
      <c r="C70" t="s">
        <v>28</v>
      </c>
      <c r="D70">
        <v>6</v>
      </c>
      <c r="E70">
        <v>6</v>
      </c>
      <c r="F70">
        <v>1</v>
      </c>
      <c r="G70">
        <v>159</v>
      </c>
      <c r="H70" t="s">
        <v>97</v>
      </c>
      <c r="I70">
        <v>31.8</v>
      </c>
      <c r="J70">
        <v>134</v>
      </c>
      <c r="K70">
        <v>118.65</v>
      </c>
      <c r="L70">
        <v>0</v>
      </c>
      <c r="M70">
        <v>1</v>
      </c>
      <c r="N70">
        <v>0</v>
      </c>
      <c r="O70">
        <v>13</v>
      </c>
      <c r="P70">
        <v>4</v>
      </c>
      <c r="Q70" t="s">
        <v>37</v>
      </c>
      <c r="R70" t="s">
        <v>37</v>
      </c>
      <c r="S70" t="s">
        <v>37</v>
      </c>
      <c r="T70" t="s">
        <v>37</v>
      </c>
      <c r="U70" t="s">
        <v>37</v>
      </c>
      <c r="V70" t="s">
        <v>37</v>
      </c>
      <c r="W70" t="s">
        <v>37</v>
      </c>
      <c r="X70" t="s">
        <v>37</v>
      </c>
      <c r="Y70" t="s">
        <v>37</v>
      </c>
      <c r="Z70" t="s">
        <v>37</v>
      </c>
      <c r="AA70" t="s">
        <v>37</v>
      </c>
      <c r="AB70">
        <v>1</v>
      </c>
      <c r="AC70">
        <v>0</v>
      </c>
      <c r="AD70">
        <f t="shared" ca="1" si="1"/>
        <v>10</v>
      </c>
      <c r="AE70" t="e">
        <f>AVERAGE(Table1[[#This Row],[Runs Conceded]]/Table1[[#This Row],[Wickets Taken]])</f>
        <v>#VALUE!</v>
      </c>
    </row>
    <row r="71" spans="1:31" x14ac:dyDescent="0.3">
      <c r="A71" t="s">
        <v>91</v>
      </c>
      <c r="B71" t="s">
        <v>96</v>
      </c>
      <c r="C71" t="s">
        <v>30</v>
      </c>
      <c r="D71">
        <v>9</v>
      </c>
      <c r="E71">
        <v>8</v>
      </c>
      <c r="F71">
        <v>0</v>
      </c>
      <c r="G71">
        <v>264</v>
      </c>
      <c r="H71">
        <v>84</v>
      </c>
      <c r="I71">
        <v>33</v>
      </c>
      <c r="J71">
        <v>194</v>
      </c>
      <c r="K71">
        <v>136.08000000000001</v>
      </c>
      <c r="L71">
        <v>0</v>
      </c>
      <c r="M71">
        <v>2</v>
      </c>
      <c r="N71">
        <v>0</v>
      </c>
      <c r="O71">
        <v>36</v>
      </c>
      <c r="P71">
        <v>5</v>
      </c>
      <c r="Q71" t="s">
        <v>37</v>
      </c>
      <c r="R71" t="s">
        <v>37</v>
      </c>
      <c r="S71" t="s">
        <v>37</v>
      </c>
      <c r="T71" t="s">
        <v>37</v>
      </c>
      <c r="U71" t="s">
        <v>37</v>
      </c>
      <c r="V71" t="s">
        <v>37</v>
      </c>
      <c r="W71" t="s">
        <v>37</v>
      </c>
      <c r="X71" t="s">
        <v>37</v>
      </c>
      <c r="Y71" t="s">
        <v>37</v>
      </c>
      <c r="Z71" t="s">
        <v>37</v>
      </c>
      <c r="AA71" t="s">
        <v>37</v>
      </c>
      <c r="AB71">
        <v>2</v>
      </c>
      <c r="AC71">
        <v>0</v>
      </c>
      <c r="AD71">
        <f t="shared" ca="1" si="1"/>
        <v>10</v>
      </c>
      <c r="AE71" t="e">
        <f>AVERAGE(Table1[[#This Row],[Runs Conceded]]/Table1[[#This Row],[Wickets Taken]])</f>
        <v>#VALUE!</v>
      </c>
    </row>
    <row r="72" spans="1:31" x14ac:dyDescent="0.3">
      <c r="A72" t="s">
        <v>91</v>
      </c>
      <c r="B72" t="s">
        <v>98</v>
      </c>
      <c r="C72" t="s">
        <v>28</v>
      </c>
      <c r="D72">
        <v>6</v>
      </c>
      <c r="E72">
        <v>6</v>
      </c>
      <c r="F72">
        <v>0</v>
      </c>
      <c r="G72">
        <v>157</v>
      </c>
      <c r="H72">
        <v>96</v>
      </c>
      <c r="I72">
        <v>26.16</v>
      </c>
      <c r="J72">
        <v>119</v>
      </c>
      <c r="K72">
        <v>131.93</v>
      </c>
      <c r="L72">
        <v>0</v>
      </c>
      <c r="M72">
        <v>1</v>
      </c>
      <c r="N72">
        <v>1</v>
      </c>
      <c r="O72">
        <v>20</v>
      </c>
      <c r="P72">
        <v>4</v>
      </c>
      <c r="Q72" t="s">
        <v>37</v>
      </c>
      <c r="R72" t="s">
        <v>37</v>
      </c>
      <c r="S72" t="s">
        <v>37</v>
      </c>
      <c r="T72" t="s">
        <v>37</v>
      </c>
      <c r="U72" t="s">
        <v>37</v>
      </c>
      <c r="V72" t="s">
        <v>37</v>
      </c>
      <c r="W72" t="s">
        <v>37</v>
      </c>
      <c r="X72" t="s">
        <v>37</v>
      </c>
      <c r="Y72" t="s">
        <v>37</v>
      </c>
      <c r="Z72" t="s">
        <v>37</v>
      </c>
      <c r="AA72" t="s">
        <v>37</v>
      </c>
      <c r="AB72">
        <v>0</v>
      </c>
      <c r="AC72">
        <v>0</v>
      </c>
      <c r="AD72">
        <f t="shared" ca="1" si="1"/>
        <v>10</v>
      </c>
      <c r="AE72" t="e">
        <f>AVERAGE(Table1[[#This Row],[Runs Conceded]]/Table1[[#This Row],[Wickets Taken]])</f>
        <v>#VALUE!</v>
      </c>
    </row>
    <row r="73" spans="1:31" x14ac:dyDescent="0.3">
      <c r="A73" t="s">
        <v>91</v>
      </c>
      <c r="B73" t="s">
        <v>98</v>
      </c>
      <c r="C73" t="s">
        <v>30</v>
      </c>
      <c r="D73">
        <v>10</v>
      </c>
      <c r="E73">
        <v>10</v>
      </c>
      <c r="F73">
        <v>3</v>
      </c>
      <c r="G73">
        <v>420</v>
      </c>
      <c r="H73" t="s">
        <v>99</v>
      </c>
      <c r="I73">
        <v>60</v>
      </c>
      <c r="J73">
        <v>288</v>
      </c>
      <c r="K73">
        <v>145.83000000000001</v>
      </c>
      <c r="L73">
        <v>2</v>
      </c>
      <c r="M73">
        <v>2</v>
      </c>
      <c r="N73">
        <v>1</v>
      </c>
      <c r="O73">
        <v>40</v>
      </c>
      <c r="P73">
        <v>17</v>
      </c>
      <c r="Q73" t="s">
        <v>37</v>
      </c>
      <c r="R73" t="s">
        <v>37</v>
      </c>
      <c r="S73" t="s">
        <v>37</v>
      </c>
      <c r="T73" t="s">
        <v>37</v>
      </c>
      <c r="U73" t="s">
        <v>37</v>
      </c>
      <c r="V73" t="s">
        <v>37</v>
      </c>
      <c r="W73" t="s">
        <v>37</v>
      </c>
      <c r="X73" t="s">
        <v>37</v>
      </c>
      <c r="Y73" t="s">
        <v>37</v>
      </c>
      <c r="Z73" t="s">
        <v>37</v>
      </c>
      <c r="AA73" t="s">
        <v>37</v>
      </c>
      <c r="AB73">
        <v>0</v>
      </c>
      <c r="AC73">
        <v>0</v>
      </c>
      <c r="AD73">
        <f t="shared" ca="1" si="1"/>
        <v>5</v>
      </c>
      <c r="AE73" t="e">
        <f>AVERAGE(Table1[[#This Row],[Runs Conceded]]/Table1[[#This Row],[Wickets Taken]])</f>
        <v>#VALUE!</v>
      </c>
    </row>
    <row r="74" spans="1:31" x14ac:dyDescent="0.3">
      <c r="A74" t="s">
        <v>91</v>
      </c>
      <c r="B74" t="s">
        <v>100</v>
      </c>
      <c r="C74" t="s">
        <v>28</v>
      </c>
      <c r="D74">
        <v>12</v>
      </c>
      <c r="E74">
        <v>12</v>
      </c>
      <c r="F74">
        <v>1</v>
      </c>
      <c r="G74">
        <v>270</v>
      </c>
      <c r="H74">
        <v>56</v>
      </c>
      <c r="I74">
        <v>24.54</v>
      </c>
      <c r="J74">
        <v>212</v>
      </c>
      <c r="K74">
        <v>127.35</v>
      </c>
      <c r="L74">
        <v>0</v>
      </c>
      <c r="M74">
        <v>2</v>
      </c>
      <c r="N74">
        <v>0</v>
      </c>
      <c r="O74">
        <v>29</v>
      </c>
      <c r="P74">
        <v>1</v>
      </c>
      <c r="Q74" t="s">
        <v>37</v>
      </c>
      <c r="R74" t="s">
        <v>37</v>
      </c>
      <c r="S74" t="s">
        <v>37</v>
      </c>
      <c r="T74" t="s">
        <v>37</v>
      </c>
      <c r="U74" t="s">
        <v>37</v>
      </c>
      <c r="V74" t="s">
        <v>37</v>
      </c>
      <c r="W74" t="s">
        <v>37</v>
      </c>
      <c r="X74" t="s">
        <v>37</v>
      </c>
      <c r="Y74" t="s">
        <v>37</v>
      </c>
      <c r="Z74" t="s">
        <v>37</v>
      </c>
      <c r="AA74" t="s">
        <v>37</v>
      </c>
      <c r="AB74">
        <v>7</v>
      </c>
      <c r="AC74">
        <v>3</v>
      </c>
      <c r="AD74">
        <f t="shared" ca="1" si="1"/>
        <v>6</v>
      </c>
      <c r="AE74" t="e">
        <f>AVERAGE(Table1[[#This Row],[Runs Conceded]]/Table1[[#This Row],[Wickets Taken]])</f>
        <v>#VALUE!</v>
      </c>
    </row>
    <row r="75" spans="1:31" x14ac:dyDescent="0.3">
      <c r="A75" t="s">
        <v>91</v>
      </c>
      <c r="B75" t="s">
        <v>100</v>
      </c>
      <c r="C75" t="s">
        <v>30</v>
      </c>
      <c r="D75">
        <v>14</v>
      </c>
      <c r="E75">
        <v>11</v>
      </c>
      <c r="F75">
        <v>1</v>
      </c>
      <c r="G75">
        <v>234</v>
      </c>
      <c r="H75" t="s">
        <v>49</v>
      </c>
      <c r="I75">
        <v>23.4</v>
      </c>
      <c r="J75">
        <v>187</v>
      </c>
      <c r="K75">
        <v>125.13</v>
      </c>
      <c r="L75">
        <v>0</v>
      </c>
      <c r="M75">
        <v>1</v>
      </c>
      <c r="N75">
        <v>1</v>
      </c>
      <c r="O75">
        <v>20</v>
      </c>
      <c r="P75">
        <v>8</v>
      </c>
      <c r="Q75" t="s">
        <v>37</v>
      </c>
      <c r="R75" t="s">
        <v>37</v>
      </c>
      <c r="S75" t="s">
        <v>37</v>
      </c>
      <c r="T75" t="s">
        <v>37</v>
      </c>
      <c r="U75" t="s">
        <v>37</v>
      </c>
      <c r="V75" t="s">
        <v>37</v>
      </c>
      <c r="W75" t="s">
        <v>37</v>
      </c>
      <c r="X75" t="s">
        <v>37</v>
      </c>
      <c r="Y75" t="s">
        <v>37</v>
      </c>
      <c r="Z75" t="s">
        <v>37</v>
      </c>
      <c r="AA75" t="s">
        <v>37</v>
      </c>
      <c r="AB75">
        <v>10</v>
      </c>
      <c r="AC75">
        <v>2</v>
      </c>
      <c r="AD75">
        <f t="shared" ca="1" si="1"/>
        <v>9</v>
      </c>
      <c r="AE75" t="e">
        <f>AVERAGE(Table1[[#This Row],[Runs Conceded]]/Table1[[#This Row],[Wickets Taken]])</f>
        <v>#VALUE!</v>
      </c>
    </row>
    <row r="76" spans="1:31" x14ac:dyDescent="0.3">
      <c r="A76" t="s">
        <v>91</v>
      </c>
      <c r="B76" t="s">
        <v>101</v>
      </c>
      <c r="C76" t="s">
        <v>28</v>
      </c>
      <c r="D76">
        <v>7</v>
      </c>
      <c r="E76">
        <v>7</v>
      </c>
      <c r="F76">
        <v>0</v>
      </c>
      <c r="G76">
        <v>161</v>
      </c>
      <c r="H76">
        <v>51</v>
      </c>
      <c r="I76">
        <v>23</v>
      </c>
      <c r="J76">
        <v>131</v>
      </c>
      <c r="K76">
        <v>122.9</v>
      </c>
      <c r="L76">
        <v>0</v>
      </c>
      <c r="M76">
        <v>1</v>
      </c>
      <c r="N76">
        <v>1</v>
      </c>
      <c r="O76">
        <v>19</v>
      </c>
      <c r="P76">
        <v>3</v>
      </c>
      <c r="Q76" t="s">
        <v>37</v>
      </c>
      <c r="R76" t="s">
        <v>37</v>
      </c>
      <c r="S76" t="s">
        <v>37</v>
      </c>
      <c r="T76" t="s">
        <v>37</v>
      </c>
      <c r="U76" t="s">
        <v>37</v>
      </c>
      <c r="V76" t="s">
        <v>37</v>
      </c>
      <c r="W76" t="s">
        <v>37</v>
      </c>
      <c r="X76" t="s">
        <v>37</v>
      </c>
      <c r="Y76" t="s">
        <v>37</v>
      </c>
      <c r="Z76" t="s">
        <v>37</v>
      </c>
      <c r="AA76" t="s">
        <v>37</v>
      </c>
      <c r="AB76">
        <v>3</v>
      </c>
      <c r="AC76">
        <v>0</v>
      </c>
      <c r="AD76">
        <f t="shared" ca="1" si="1"/>
        <v>18</v>
      </c>
      <c r="AE76" t="e">
        <f>AVERAGE(Table1[[#This Row],[Runs Conceded]]/Table1[[#This Row],[Wickets Taken]])</f>
        <v>#VALUE!</v>
      </c>
    </row>
    <row r="77" spans="1:31" x14ac:dyDescent="0.3">
      <c r="A77" t="s">
        <v>91</v>
      </c>
      <c r="B77" t="s">
        <v>101</v>
      </c>
      <c r="C77" t="s">
        <v>30</v>
      </c>
      <c r="D77">
        <v>11</v>
      </c>
      <c r="E77">
        <v>9</v>
      </c>
      <c r="F77">
        <v>0</v>
      </c>
      <c r="G77">
        <v>229</v>
      </c>
      <c r="H77">
        <v>95</v>
      </c>
      <c r="I77">
        <v>25.44</v>
      </c>
      <c r="J77">
        <v>159</v>
      </c>
      <c r="K77">
        <v>144.02000000000001</v>
      </c>
      <c r="L77">
        <v>0</v>
      </c>
      <c r="M77">
        <v>1</v>
      </c>
      <c r="N77">
        <v>0</v>
      </c>
      <c r="O77">
        <v>23</v>
      </c>
      <c r="P77">
        <v>9</v>
      </c>
      <c r="Q77" t="s">
        <v>37</v>
      </c>
      <c r="R77" t="s">
        <v>37</v>
      </c>
      <c r="S77" t="s">
        <v>37</v>
      </c>
      <c r="T77" t="s">
        <v>37</v>
      </c>
      <c r="U77" t="s">
        <v>37</v>
      </c>
      <c r="V77" t="s">
        <v>37</v>
      </c>
      <c r="W77" t="s">
        <v>37</v>
      </c>
      <c r="X77" t="s">
        <v>37</v>
      </c>
      <c r="Y77" t="s">
        <v>37</v>
      </c>
      <c r="Z77" t="s">
        <v>37</v>
      </c>
      <c r="AA77" t="s">
        <v>37</v>
      </c>
      <c r="AB77">
        <v>2</v>
      </c>
      <c r="AC77">
        <v>0</v>
      </c>
      <c r="AD77">
        <f t="shared" ca="1" si="1"/>
        <v>17</v>
      </c>
      <c r="AE77" t="e">
        <f>AVERAGE(Table1[[#This Row],[Runs Conceded]]/Table1[[#This Row],[Wickets Taken]])</f>
        <v>#VALUE!</v>
      </c>
    </row>
    <row r="78" spans="1:31" x14ac:dyDescent="0.3">
      <c r="A78" t="s">
        <v>91</v>
      </c>
      <c r="B78" t="s">
        <v>102</v>
      </c>
      <c r="C78" t="s">
        <v>28</v>
      </c>
      <c r="D78">
        <v>7</v>
      </c>
      <c r="E78">
        <v>6</v>
      </c>
      <c r="F78">
        <v>1</v>
      </c>
      <c r="G78">
        <v>113</v>
      </c>
      <c r="H78">
        <v>51</v>
      </c>
      <c r="I78">
        <v>22.6</v>
      </c>
      <c r="J78">
        <v>86</v>
      </c>
      <c r="K78">
        <v>131.38999999999999</v>
      </c>
      <c r="L78">
        <v>0</v>
      </c>
      <c r="M78">
        <v>1</v>
      </c>
      <c r="N78">
        <v>1</v>
      </c>
      <c r="O78">
        <v>11</v>
      </c>
      <c r="P78">
        <v>3</v>
      </c>
      <c r="Q78">
        <v>3</v>
      </c>
      <c r="R78">
        <v>4</v>
      </c>
      <c r="S78">
        <v>0</v>
      </c>
      <c r="T78">
        <v>31</v>
      </c>
      <c r="U78">
        <v>2</v>
      </c>
      <c r="V78" s="1">
        <v>42036</v>
      </c>
      <c r="W78">
        <v>15.5</v>
      </c>
      <c r="X78">
        <v>7.75</v>
      </c>
      <c r="Y78">
        <v>12</v>
      </c>
      <c r="Z78">
        <v>0</v>
      </c>
      <c r="AA78">
        <v>0</v>
      </c>
      <c r="AB78">
        <v>5</v>
      </c>
      <c r="AC78">
        <v>0</v>
      </c>
      <c r="AD78">
        <f t="shared" ca="1" si="1"/>
        <v>6</v>
      </c>
      <c r="AE78">
        <f>AVERAGE(Table1[[#This Row],[Runs Conceded]]/Table1[[#This Row],[Wickets Taken]])</f>
        <v>15.5</v>
      </c>
    </row>
    <row r="79" spans="1:31" x14ac:dyDescent="0.3">
      <c r="A79" t="s">
        <v>91</v>
      </c>
      <c r="B79" t="s">
        <v>102</v>
      </c>
      <c r="C79" t="s">
        <v>30</v>
      </c>
      <c r="D79">
        <v>2</v>
      </c>
      <c r="E79" t="s">
        <v>37</v>
      </c>
      <c r="F79" t="s">
        <v>37</v>
      </c>
      <c r="G79" t="s">
        <v>37</v>
      </c>
      <c r="H79" t="s">
        <v>37</v>
      </c>
      <c r="I79" t="s">
        <v>37</v>
      </c>
      <c r="J79" t="s">
        <v>37</v>
      </c>
      <c r="K79" t="s">
        <v>37</v>
      </c>
      <c r="L79" t="s">
        <v>37</v>
      </c>
      <c r="M79" t="s">
        <v>37</v>
      </c>
      <c r="N79" t="s">
        <v>37</v>
      </c>
      <c r="O79" t="s">
        <v>37</v>
      </c>
      <c r="P79" t="s">
        <v>37</v>
      </c>
      <c r="Q79" t="s">
        <v>37</v>
      </c>
      <c r="R79" t="s">
        <v>37</v>
      </c>
      <c r="S79" t="s">
        <v>37</v>
      </c>
      <c r="T79" t="s">
        <v>37</v>
      </c>
      <c r="U79" t="s">
        <v>37</v>
      </c>
      <c r="V79" t="s">
        <v>37</v>
      </c>
      <c r="W79" t="s">
        <v>37</v>
      </c>
      <c r="X79" t="s">
        <v>37</v>
      </c>
      <c r="Y79" t="s">
        <v>37</v>
      </c>
      <c r="Z79" t="s">
        <v>37</v>
      </c>
      <c r="AA79" t="s">
        <v>37</v>
      </c>
      <c r="AB79">
        <v>1</v>
      </c>
      <c r="AC79">
        <v>0</v>
      </c>
      <c r="AD79">
        <f t="shared" ca="1" si="1"/>
        <v>9</v>
      </c>
      <c r="AE79" t="e">
        <f>AVERAGE(Table1[[#This Row],[Runs Conceded]]/Table1[[#This Row],[Wickets Taken]])</f>
        <v>#VALUE!</v>
      </c>
    </row>
    <row r="80" spans="1:31" x14ac:dyDescent="0.3">
      <c r="A80" t="s">
        <v>91</v>
      </c>
      <c r="B80" t="s">
        <v>62</v>
      </c>
      <c r="C80" t="s">
        <v>28</v>
      </c>
      <c r="D80">
        <v>11</v>
      </c>
      <c r="E80">
        <v>11</v>
      </c>
      <c r="F80">
        <v>2</v>
      </c>
      <c r="G80">
        <v>179</v>
      </c>
      <c r="H80">
        <v>68</v>
      </c>
      <c r="I80">
        <v>19.88</v>
      </c>
      <c r="J80">
        <v>124</v>
      </c>
      <c r="K80">
        <v>144.35</v>
      </c>
      <c r="L80">
        <v>0</v>
      </c>
      <c r="M80">
        <v>2</v>
      </c>
      <c r="N80">
        <v>3</v>
      </c>
      <c r="O80">
        <v>14</v>
      </c>
      <c r="P80">
        <v>8</v>
      </c>
      <c r="Q80">
        <v>7</v>
      </c>
      <c r="R80">
        <v>9</v>
      </c>
      <c r="S80">
        <v>0</v>
      </c>
      <c r="T80">
        <v>80</v>
      </c>
      <c r="U80">
        <v>0</v>
      </c>
      <c r="V80" t="s">
        <v>37</v>
      </c>
      <c r="W80" t="s">
        <v>37</v>
      </c>
      <c r="X80">
        <v>8.8800000000000008</v>
      </c>
      <c r="Y80" t="s">
        <v>37</v>
      </c>
      <c r="Z80">
        <v>0</v>
      </c>
      <c r="AA80">
        <v>0</v>
      </c>
      <c r="AB80">
        <v>3</v>
      </c>
      <c r="AC80">
        <v>0</v>
      </c>
      <c r="AD80">
        <f t="shared" ca="1" si="1"/>
        <v>16</v>
      </c>
      <c r="AE80" t="e">
        <f>AVERAGE(Table1[[#This Row],[Runs Conceded]]/Table1[[#This Row],[Wickets Taken]])</f>
        <v>#DIV/0!</v>
      </c>
    </row>
    <row r="81" spans="1:31" x14ac:dyDescent="0.3">
      <c r="A81" t="s">
        <v>91</v>
      </c>
      <c r="B81" t="s">
        <v>62</v>
      </c>
      <c r="C81" t="s">
        <v>30</v>
      </c>
      <c r="D81">
        <v>14</v>
      </c>
      <c r="E81">
        <v>13</v>
      </c>
      <c r="F81">
        <v>3</v>
      </c>
      <c r="G81">
        <v>310</v>
      </c>
      <c r="H81">
        <v>47</v>
      </c>
      <c r="I81">
        <v>31</v>
      </c>
      <c r="J81">
        <v>179</v>
      </c>
      <c r="K81">
        <v>173.18</v>
      </c>
      <c r="L81">
        <v>0</v>
      </c>
      <c r="M81">
        <v>0</v>
      </c>
      <c r="N81">
        <v>3</v>
      </c>
      <c r="O81">
        <v>19</v>
      </c>
      <c r="P81">
        <v>26</v>
      </c>
      <c r="Q81">
        <v>8</v>
      </c>
      <c r="R81">
        <v>19</v>
      </c>
      <c r="S81">
        <v>0</v>
      </c>
      <c r="T81">
        <v>125</v>
      </c>
      <c r="U81">
        <v>7</v>
      </c>
      <c r="V81" s="1">
        <v>42036</v>
      </c>
      <c r="W81">
        <v>17.850000000000001</v>
      </c>
      <c r="X81">
        <v>6.57</v>
      </c>
      <c r="Y81">
        <v>16.2</v>
      </c>
      <c r="Z81">
        <v>0</v>
      </c>
      <c r="AA81">
        <v>0</v>
      </c>
      <c r="AB81">
        <v>7</v>
      </c>
      <c r="AC81">
        <v>0</v>
      </c>
      <c r="AD81">
        <f t="shared" ca="1" si="1"/>
        <v>6</v>
      </c>
      <c r="AE81">
        <f>AVERAGE(Table1[[#This Row],[Runs Conceded]]/Table1[[#This Row],[Wickets Taken]])</f>
        <v>17.857142857142858</v>
      </c>
    </row>
    <row r="82" spans="1:31" x14ac:dyDescent="0.3">
      <c r="A82" t="s">
        <v>91</v>
      </c>
      <c r="B82" t="s">
        <v>103</v>
      </c>
      <c r="C82" t="s">
        <v>28</v>
      </c>
      <c r="D82">
        <v>5</v>
      </c>
      <c r="E82">
        <v>2</v>
      </c>
      <c r="F82">
        <v>1</v>
      </c>
      <c r="G82">
        <v>19</v>
      </c>
      <c r="H82" t="s">
        <v>104</v>
      </c>
      <c r="I82">
        <v>19</v>
      </c>
      <c r="J82">
        <v>13</v>
      </c>
      <c r="K82">
        <v>146.15</v>
      </c>
      <c r="L82">
        <v>0</v>
      </c>
      <c r="M82">
        <v>0</v>
      </c>
      <c r="N82">
        <v>0</v>
      </c>
      <c r="O82">
        <v>1</v>
      </c>
      <c r="P82">
        <v>1</v>
      </c>
      <c r="Q82">
        <v>5</v>
      </c>
      <c r="R82">
        <v>17.3</v>
      </c>
      <c r="S82">
        <v>0</v>
      </c>
      <c r="T82">
        <v>146</v>
      </c>
      <c r="U82">
        <v>3</v>
      </c>
      <c r="V82" s="1">
        <v>43132</v>
      </c>
      <c r="W82">
        <v>48.66</v>
      </c>
      <c r="X82">
        <v>8.34</v>
      </c>
      <c r="Y82">
        <v>35</v>
      </c>
      <c r="Z82">
        <v>0</v>
      </c>
      <c r="AA82">
        <v>0</v>
      </c>
      <c r="AB82">
        <v>0</v>
      </c>
      <c r="AC82">
        <v>0</v>
      </c>
      <c r="AD82">
        <f t="shared" ca="1" si="1"/>
        <v>6</v>
      </c>
      <c r="AE82">
        <f>AVERAGE(Table1[[#This Row],[Runs Conceded]]/Table1[[#This Row],[Wickets Taken]])</f>
        <v>48.666666666666664</v>
      </c>
    </row>
    <row r="83" spans="1:31" x14ac:dyDescent="0.3">
      <c r="A83" t="s">
        <v>91</v>
      </c>
      <c r="B83" t="s">
        <v>105</v>
      </c>
      <c r="C83" t="s">
        <v>28</v>
      </c>
      <c r="D83">
        <v>14</v>
      </c>
      <c r="E83">
        <v>13</v>
      </c>
      <c r="F83">
        <v>3</v>
      </c>
      <c r="G83">
        <v>161</v>
      </c>
      <c r="H83">
        <v>31</v>
      </c>
      <c r="I83">
        <v>16.100000000000001</v>
      </c>
      <c r="J83">
        <v>131</v>
      </c>
      <c r="K83">
        <v>122.9</v>
      </c>
      <c r="L83">
        <v>0</v>
      </c>
      <c r="M83">
        <v>0</v>
      </c>
      <c r="N83">
        <v>1</v>
      </c>
      <c r="O83">
        <v>11</v>
      </c>
      <c r="P83">
        <v>4</v>
      </c>
      <c r="Q83" t="s">
        <v>37</v>
      </c>
      <c r="R83" t="s">
        <v>37</v>
      </c>
      <c r="S83" t="s">
        <v>37</v>
      </c>
      <c r="T83" t="s">
        <v>37</v>
      </c>
      <c r="U83" t="s">
        <v>37</v>
      </c>
      <c r="V83" t="s">
        <v>37</v>
      </c>
      <c r="W83" t="s">
        <v>37</v>
      </c>
      <c r="X83" t="s">
        <v>37</v>
      </c>
      <c r="Y83" t="s">
        <v>37</v>
      </c>
      <c r="Z83" t="s">
        <v>37</v>
      </c>
      <c r="AA83" t="s">
        <v>37</v>
      </c>
      <c r="AB83">
        <v>10</v>
      </c>
      <c r="AC83">
        <v>0</v>
      </c>
      <c r="AD83">
        <f t="shared" ca="1" si="1"/>
        <v>8</v>
      </c>
      <c r="AE83" t="e">
        <f>AVERAGE(Table1[[#This Row],[Runs Conceded]]/Table1[[#This Row],[Wickets Taken]])</f>
        <v>#VALUE!</v>
      </c>
    </row>
    <row r="84" spans="1:31" x14ac:dyDescent="0.3">
      <c r="A84" t="s">
        <v>91</v>
      </c>
      <c r="B84" t="s">
        <v>105</v>
      </c>
      <c r="C84" t="s">
        <v>30</v>
      </c>
      <c r="D84">
        <v>5</v>
      </c>
      <c r="E84">
        <v>4</v>
      </c>
      <c r="F84">
        <v>1</v>
      </c>
      <c r="G84">
        <v>83</v>
      </c>
      <c r="H84" t="s">
        <v>106</v>
      </c>
      <c r="I84">
        <v>27.66</v>
      </c>
      <c r="J84">
        <v>80</v>
      </c>
      <c r="K84">
        <v>103.75</v>
      </c>
      <c r="L84">
        <v>0</v>
      </c>
      <c r="M84">
        <v>0</v>
      </c>
      <c r="N84">
        <v>0</v>
      </c>
      <c r="O84">
        <v>4</v>
      </c>
      <c r="P84">
        <v>4</v>
      </c>
      <c r="Q84" t="s">
        <v>37</v>
      </c>
      <c r="R84" t="s">
        <v>37</v>
      </c>
      <c r="S84" t="s">
        <v>37</v>
      </c>
      <c r="T84" t="s">
        <v>37</v>
      </c>
      <c r="U84" t="s">
        <v>37</v>
      </c>
      <c r="V84" t="s">
        <v>37</v>
      </c>
      <c r="W84" t="s">
        <v>37</v>
      </c>
      <c r="X84" t="s">
        <v>37</v>
      </c>
      <c r="Y84" t="s">
        <v>37</v>
      </c>
      <c r="Z84" t="s">
        <v>37</v>
      </c>
      <c r="AA84" t="s">
        <v>37</v>
      </c>
      <c r="AB84">
        <v>2</v>
      </c>
      <c r="AC84">
        <v>0</v>
      </c>
      <c r="AD84">
        <f t="shared" ca="1" si="1"/>
        <v>12</v>
      </c>
      <c r="AE84" t="e">
        <f>AVERAGE(Table1[[#This Row],[Runs Conceded]]/Table1[[#This Row],[Wickets Taken]])</f>
        <v>#VALUE!</v>
      </c>
    </row>
    <row r="85" spans="1:31" x14ac:dyDescent="0.3">
      <c r="A85" t="s">
        <v>91</v>
      </c>
      <c r="B85" t="s">
        <v>105</v>
      </c>
      <c r="C85" t="s">
        <v>32</v>
      </c>
      <c r="D85">
        <v>3</v>
      </c>
      <c r="E85">
        <v>3</v>
      </c>
      <c r="F85">
        <v>1</v>
      </c>
      <c r="G85">
        <v>74</v>
      </c>
      <c r="H85">
        <v>26</v>
      </c>
      <c r="I85">
        <v>37</v>
      </c>
      <c r="J85">
        <v>64</v>
      </c>
      <c r="K85">
        <v>115.62</v>
      </c>
      <c r="L85">
        <v>0</v>
      </c>
      <c r="M85">
        <v>0</v>
      </c>
      <c r="N85">
        <v>0</v>
      </c>
      <c r="O85">
        <v>3</v>
      </c>
      <c r="P85">
        <v>2</v>
      </c>
      <c r="Q85" t="s">
        <v>37</v>
      </c>
      <c r="R85" t="s">
        <v>37</v>
      </c>
      <c r="S85" t="s">
        <v>37</v>
      </c>
      <c r="T85" t="s">
        <v>37</v>
      </c>
      <c r="U85" t="s">
        <v>37</v>
      </c>
      <c r="V85" t="s">
        <v>37</v>
      </c>
      <c r="W85" t="s">
        <v>37</v>
      </c>
      <c r="X85" t="s">
        <v>37</v>
      </c>
      <c r="Y85" t="s">
        <v>37</v>
      </c>
      <c r="Z85" t="s">
        <v>37</v>
      </c>
      <c r="AA85" t="s">
        <v>37</v>
      </c>
      <c r="AB85">
        <v>0</v>
      </c>
      <c r="AC85">
        <v>0</v>
      </c>
      <c r="AD85">
        <f t="shared" ca="1" si="1"/>
        <v>10</v>
      </c>
      <c r="AE85" t="e">
        <f>AVERAGE(Table1[[#This Row],[Runs Conceded]]/Table1[[#This Row],[Wickets Taken]])</f>
        <v>#VALUE!</v>
      </c>
    </row>
    <row r="86" spans="1:31" x14ac:dyDescent="0.3">
      <c r="A86" t="s">
        <v>91</v>
      </c>
      <c r="B86" t="s">
        <v>105</v>
      </c>
      <c r="C86" t="s">
        <v>92</v>
      </c>
      <c r="D86">
        <v>10</v>
      </c>
      <c r="E86">
        <v>10</v>
      </c>
      <c r="F86">
        <v>2</v>
      </c>
      <c r="G86">
        <v>213</v>
      </c>
      <c r="H86" t="s">
        <v>107</v>
      </c>
      <c r="I86">
        <v>26.62</v>
      </c>
      <c r="J86">
        <v>164</v>
      </c>
      <c r="K86">
        <v>129.87</v>
      </c>
      <c r="L86">
        <v>0</v>
      </c>
      <c r="M86">
        <v>1</v>
      </c>
      <c r="N86">
        <v>0</v>
      </c>
      <c r="O86">
        <v>19</v>
      </c>
      <c r="P86">
        <v>7</v>
      </c>
      <c r="Q86" t="s">
        <v>37</v>
      </c>
      <c r="R86" t="s">
        <v>37</v>
      </c>
      <c r="S86" t="s">
        <v>37</v>
      </c>
      <c r="T86" t="s">
        <v>37</v>
      </c>
      <c r="U86" t="s">
        <v>37</v>
      </c>
      <c r="V86" t="s">
        <v>37</v>
      </c>
      <c r="W86" t="s">
        <v>37</v>
      </c>
      <c r="X86" t="s">
        <v>37</v>
      </c>
      <c r="Y86" t="s">
        <v>37</v>
      </c>
      <c r="Z86" t="s">
        <v>37</v>
      </c>
      <c r="AA86" t="s">
        <v>37</v>
      </c>
      <c r="AB86">
        <v>7</v>
      </c>
      <c r="AC86">
        <v>0</v>
      </c>
      <c r="AD86">
        <f t="shared" ca="1" si="1"/>
        <v>14</v>
      </c>
      <c r="AE86" t="e">
        <f>AVERAGE(Table1[[#This Row],[Runs Conceded]]/Table1[[#This Row],[Wickets Taken]])</f>
        <v>#VALUE!</v>
      </c>
    </row>
    <row r="87" spans="1:31" x14ac:dyDescent="0.3">
      <c r="A87" t="s">
        <v>91</v>
      </c>
      <c r="B87" t="s">
        <v>108</v>
      </c>
      <c r="C87" t="s">
        <v>28</v>
      </c>
      <c r="D87">
        <v>14</v>
      </c>
      <c r="E87">
        <v>10</v>
      </c>
      <c r="F87">
        <v>3</v>
      </c>
      <c r="G87">
        <v>111</v>
      </c>
      <c r="H87" t="s">
        <v>66</v>
      </c>
      <c r="I87">
        <v>15.85</v>
      </c>
      <c r="J87">
        <v>77</v>
      </c>
      <c r="K87">
        <v>144.15</v>
      </c>
      <c r="L87">
        <v>0</v>
      </c>
      <c r="M87">
        <v>0</v>
      </c>
      <c r="N87">
        <v>2</v>
      </c>
      <c r="O87">
        <v>4</v>
      </c>
      <c r="P87">
        <v>8</v>
      </c>
      <c r="Q87">
        <v>14</v>
      </c>
      <c r="R87">
        <v>47.5</v>
      </c>
      <c r="S87">
        <v>0</v>
      </c>
      <c r="T87">
        <v>388</v>
      </c>
      <c r="U87">
        <v>13</v>
      </c>
      <c r="V87" s="1">
        <v>44287</v>
      </c>
      <c r="W87">
        <v>29.84</v>
      </c>
      <c r="X87">
        <v>8.11</v>
      </c>
      <c r="Y87">
        <v>22</v>
      </c>
      <c r="Z87">
        <v>1</v>
      </c>
      <c r="AA87">
        <v>0</v>
      </c>
      <c r="AB87">
        <v>2</v>
      </c>
      <c r="AC87">
        <v>0</v>
      </c>
      <c r="AD87">
        <f t="shared" ca="1" si="1"/>
        <v>12</v>
      </c>
      <c r="AE87">
        <f>AVERAGE(Table1[[#This Row],[Runs Conceded]]/Table1[[#This Row],[Wickets Taken]])</f>
        <v>29.846153846153847</v>
      </c>
    </row>
    <row r="88" spans="1:31" x14ac:dyDescent="0.3">
      <c r="A88" t="s">
        <v>91</v>
      </c>
      <c r="B88" t="s">
        <v>108</v>
      </c>
      <c r="C88" t="s">
        <v>30</v>
      </c>
      <c r="D88">
        <v>14</v>
      </c>
      <c r="E88">
        <v>13</v>
      </c>
      <c r="F88">
        <v>5</v>
      </c>
      <c r="G88">
        <v>227</v>
      </c>
      <c r="H88">
        <v>44</v>
      </c>
      <c r="I88">
        <v>28.37</v>
      </c>
      <c r="J88">
        <v>162</v>
      </c>
      <c r="K88">
        <v>140.12</v>
      </c>
      <c r="L88">
        <v>0</v>
      </c>
      <c r="M88">
        <v>0</v>
      </c>
      <c r="N88">
        <v>1</v>
      </c>
      <c r="O88">
        <v>11</v>
      </c>
      <c r="P88">
        <v>11</v>
      </c>
      <c r="Q88">
        <v>14</v>
      </c>
      <c r="R88">
        <v>48</v>
      </c>
      <c r="S88">
        <v>0</v>
      </c>
      <c r="T88">
        <v>362</v>
      </c>
      <c r="U88">
        <v>15</v>
      </c>
      <c r="V88" s="2">
        <v>44138</v>
      </c>
      <c r="W88">
        <v>24.13</v>
      </c>
      <c r="X88">
        <v>7.54</v>
      </c>
      <c r="Y88">
        <v>19.2</v>
      </c>
      <c r="Z88">
        <v>0</v>
      </c>
      <c r="AA88">
        <v>0</v>
      </c>
      <c r="AB88">
        <v>7</v>
      </c>
      <c r="AC88">
        <v>0</v>
      </c>
      <c r="AD88">
        <f t="shared" ca="1" si="1"/>
        <v>18</v>
      </c>
      <c r="AE88">
        <f>AVERAGE(Table1[[#This Row],[Runs Conceded]]/Table1[[#This Row],[Wickets Taken]])</f>
        <v>24.133333333333333</v>
      </c>
    </row>
    <row r="89" spans="1:31" x14ac:dyDescent="0.3">
      <c r="A89" t="s">
        <v>91</v>
      </c>
      <c r="B89" t="s">
        <v>108</v>
      </c>
      <c r="C89" t="s">
        <v>32</v>
      </c>
      <c r="D89">
        <v>9</v>
      </c>
      <c r="E89">
        <v>8</v>
      </c>
      <c r="F89">
        <v>2</v>
      </c>
      <c r="G89">
        <v>80</v>
      </c>
      <c r="H89">
        <v>19</v>
      </c>
      <c r="I89">
        <v>13.33</v>
      </c>
      <c r="J89">
        <v>69</v>
      </c>
      <c r="K89">
        <v>115.94</v>
      </c>
      <c r="L89">
        <v>0</v>
      </c>
      <c r="M89">
        <v>0</v>
      </c>
      <c r="N89">
        <v>0</v>
      </c>
      <c r="O89">
        <v>3</v>
      </c>
      <c r="P89">
        <v>4</v>
      </c>
      <c r="Q89">
        <v>8</v>
      </c>
      <c r="R89">
        <v>26</v>
      </c>
      <c r="S89">
        <v>0</v>
      </c>
      <c r="T89">
        <v>218</v>
      </c>
      <c r="U89">
        <v>3</v>
      </c>
      <c r="V89" s="1">
        <v>44197</v>
      </c>
      <c r="W89">
        <v>72.66</v>
      </c>
      <c r="X89">
        <v>8.3800000000000008</v>
      </c>
      <c r="Y89">
        <v>52</v>
      </c>
      <c r="Z89">
        <v>0</v>
      </c>
      <c r="AA89">
        <v>0</v>
      </c>
      <c r="AB89">
        <v>2</v>
      </c>
      <c r="AC89">
        <v>0</v>
      </c>
      <c r="AD89">
        <f t="shared" ca="1" si="1"/>
        <v>9</v>
      </c>
      <c r="AE89">
        <f>AVERAGE(Table1[[#This Row],[Runs Conceded]]/Table1[[#This Row],[Wickets Taken]])</f>
        <v>72.666666666666671</v>
      </c>
    </row>
    <row r="90" spans="1:31" x14ac:dyDescent="0.3">
      <c r="A90" t="s">
        <v>91</v>
      </c>
      <c r="B90" t="s">
        <v>109</v>
      </c>
      <c r="C90" t="s">
        <v>28</v>
      </c>
      <c r="D90">
        <v>5</v>
      </c>
      <c r="E90">
        <v>3</v>
      </c>
      <c r="F90">
        <v>2</v>
      </c>
      <c r="G90">
        <v>13</v>
      </c>
      <c r="H90" t="s">
        <v>77</v>
      </c>
      <c r="I90">
        <v>13</v>
      </c>
      <c r="J90">
        <v>8</v>
      </c>
      <c r="K90">
        <v>162.5</v>
      </c>
      <c r="L90">
        <v>0</v>
      </c>
      <c r="M90">
        <v>0</v>
      </c>
      <c r="N90">
        <v>1</v>
      </c>
      <c r="O90">
        <v>0</v>
      </c>
      <c r="P90">
        <v>1</v>
      </c>
      <c r="Q90">
        <v>5</v>
      </c>
      <c r="R90">
        <v>16</v>
      </c>
      <c r="S90">
        <v>0</v>
      </c>
      <c r="T90">
        <v>177</v>
      </c>
      <c r="U90">
        <v>2</v>
      </c>
      <c r="V90" s="1">
        <v>13881</v>
      </c>
      <c r="W90">
        <v>88.5</v>
      </c>
      <c r="X90">
        <v>11.06</v>
      </c>
      <c r="Y90">
        <v>48</v>
      </c>
      <c r="Z90">
        <v>0</v>
      </c>
      <c r="AA90">
        <v>0</v>
      </c>
      <c r="AB90">
        <v>0</v>
      </c>
      <c r="AC90">
        <v>0</v>
      </c>
      <c r="AD90">
        <f t="shared" ca="1" si="1"/>
        <v>3</v>
      </c>
      <c r="AE90">
        <f>AVERAGE(Table1[[#This Row],[Runs Conceded]]/Table1[[#This Row],[Wickets Taken]])</f>
        <v>88.5</v>
      </c>
    </row>
    <row r="91" spans="1:31" x14ac:dyDescent="0.3">
      <c r="A91" t="s">
        <v>91</v>
      </c>
      <c r="B91" t="s">
        <v>110</v>
      </c>
      <c r="C91" t="s">
        <v>28</v>
      </c>
      <c r="D91">
        <v>5</v>
      </c>
      <c r="E91">
        <v>2</v>
      </c>
      <c r="F91">
        <v>1</v>
      </c>
      <c r="G91">
        <v>13</v>
      </c>
      <c r="H91" t="s">
        <v>77</v>
      </c>
      <c r="I91">
        <v>13</v>
      </c>
      <c r="J91">
        <v>11</v>
      </c>
      <c r="K91">
        <v>118.18</v>
      </c>
      <c r="L91">
        <v>0</v>
      </c>
      <c r="M91">
        <v>0</v>
      </c>
      <c r="N91">
        <v>0</v>
      </c>
      <c r="O91">
        <v>0</v>
      </c>
      <c r="P91">
        <v>1</v>
      </c>
      <c r="Q91">
        <v>5</v>
      </c>
      <c r="R91">
        <v>17</v>
      </c>
      <c r="S91">
        <v>0</v>
      </c>
      <c r="T91">
        <v>159</v>
      </c>
      <c r="U91">
        <v>3</v>
      </c>
      <c r="V91" s="1">
        <v>42401</v>
      </c>
      <c r="W91">
        <v>53</v>
      </c>
      <c r="X91">
        <v>9.35</v>
      </c>
      <c r="Y91">
        <v>34</v>
      </c>
      <c r="Z91">
        <v>0</v>
      </c>
      <c r="AA91">
        <v>0</v>
      </c>
      <c r="AB91">
        <v>2</v>
      </c>
      <c r="AC91">
        <v>0</v>
      </c>
      <c r="AD91">
        <f t="shared" ca="1" si="1"/>
        <v>17</v>
      </c>
      <c r="AE91">
        <f>AVERAGE(Table1[[#This Row],[Runs Conceded]]/Table1[[#This Row],[Wickets Taken]])</f>
        <v>53</v>
      </c>
    </row>
    <row r="92" spans="1:31" x14ac:dyDescent="0.3">
      <c r="A92" t="s">
        <v>91</v>
      </c>
      <c r="B92" t="s">
        <v>110</v>
      </c>
      <c r="C92" t="s">
        <v>30</v>
      </c>
      <c r="D92">
        <v>4</v>
      </c>
      <c r="E92">
        <v>2</v>
      </c>
      <c r="F92">
        <v>0</v>
      </c>
      <c r="G92">
        <v>2</v>
      </c>
      <c r="H92">
        <v>1</v>
      </c>
      <c r="I92">
        <v>1</v>
      </c>
      <c r="J92">
        <v>7</v>
      </c>
      <c r="K92">
        <v>28.57</v>
      </c>
      <c r="L92">
        <v>0</v>
      </c>
      <c r="M92">
        <v>0</v>
      </c>
      <c r="N92">
        <v>0</v>
      </c>
      <c r="O92">
        <v>0</v>
      </c>
      <c r="P92">
        <v>0</v>
      </c>
      <c r="Q92">
        <v>4</v>
      </c>
      <c r="R92">
        <v>15</v>
      </c>
      <c r="S92">
        <v>0</v>
      </c>
      <c r="T92">
        <v>127</v>
      </c>
      <c r="U92">
        <v>4</v>
      </c>
      <c r="V92" s="1">
        <v>45323</v>
      </c>
      <c r="W92">
        <v>31.75</v>
      </c>
      <c r="X92">
        <v>8.4600000000000009</v>
      </c>
      <c r="Y92">
        <v>22.5</v>
      </c>
      <c r="Z92">
        <v>0</v>
      </c>
      <c r="AA92">
        <v>0</v>
      </c>
      <c r="AB92">
        <v>1</v>
      </c>
      <c r="AC92">
        <v>0</v>
      </c>
      <c r="AD92">
        <f t="shared" ca="1" si="1"/>
        <v>3</v>
      </c>
      <c r="AE92">
        <f>AVERAGE(Table1[[#This Row],[Runs Conceded]]/Table1[[#This Row],[Wickets Taken]])</f>
        <v>31.75</v>
      </c>
    </row>
    <row r="93" spans="1:31" x14ac:dyDescent="0.3">
      <c r="A93" t="s">
        <v>91</v>
      </c>
      <c r="B93" t="s">
        <v>111</v>
      </c>
      <c r="C93" t="s">
        <v>28</v>
      </c>
      <c r="D93">
        <v>2</v>
      </c>
      <c r="E93">
        <v>2</v>
      </c>
      <c r="F93">
        <v>0</v>
      </c>
      <c r="G93">
        <v>23</v>
      </c>
      <c r="H93">
        <v>22</v>
      </c>
      <c r="I93">
        <v>11.5</v>
      </c>
      <c r="J93">
        <v>31</v>
      </c>
      <c r="K93">
        <v>74.19</v>
      </c>
      <c r="L93">
        <v>0</v>
      </c>
      <c r="M93">
        <v>0</v>
      </c>
      <c r="N93">
        <v>0</v>
      </c>
      <c r="O93">
        <v>1</v>
      </c>
      <c r="P93">
        <v>0</v>
      </c>
      <c r="Q93" t="s">
        <v>37</v>
      </c>
      <c r="R93" t="s">
        <v>37</v>
      </c>
      <c r="S93" t="s">
        <v>37</v>
      </c>
      <c r="T93" t="s">
        <v>37</v>
      </c>
      <c r="U93" t="s">
        <v>37</v>
      </c>
      <c r="V93" t="s">
        <v>37</v>
      </c>
      <c r="W93" t="s">
        <v>37</v>
      </c>
      <c r="X93" t="s">
        <v>37</v>
      </c>
      <c r="Y93" t="s">
        <v>37</v>
      </c>
      <c r="Z93" t="s">
        <v>37</v>
      </c>
      <c r="AA93" t="s">
        <v>37</v>
      </c>
      <c r="AB93">
        <v>2</v>
      </c>
      <c r="AC93">
        <v>0</v>
      </c>
      <c r="AD93">
        <f t="shared" ca="1" si="1"/>
        <v>9</v>
      </c>
      <c r="AE93" t="e">
        <f>AVERAGE(Table1[[#This Row],[Runs Conceded]]/Table1[[#This Row],[Wickets Taken]])</f>
        <v>#VALUE!</v>
      </c>
    </row>
    <row r="94" spans="1:31" x14ac:dyDescent="0.3">
      <c r="A94" t="s">
        <v>91</v>
      </c>
      <c r="B94" t="s">
        <v>112</v>
      </c>
      <c r="C94" t="s">
        <v>28</v>
      </c>
      <c r="D94">
        <v>14</v>
      </c>
      <c r="E94">
        <v>6</v>
      </c>
      <c r="F94">
        <v>2</v>
      </c>
      <c r="G94">
        <v>32</v>
      </c>
      <c r="H94">
        <v>15</v>
      </c>
      <c r="I94">
        <v>8</v>
      </c>
      <c r="J94">
        <v>26</v>
      </c>
      <c r="K94">
        <v>123.07</v>
      </c>
      <c r="L94">
        <v>0</v>
      </c>
      <c r="M94">
        <v>0</v>
      </c>
      <c r="N94">
        <v>0</v>
      </c>
      <c r="O94">
        <v>3</v>
      </c>
      <c r="P94">
        <v>1</v>
      </c>
      <c r="Q94">
        <v>14</v>
      </c>
      <c r="R94">
        <v>48.3</v>
      </c>
      <c r="S94">
        <v>0</v>
      </c>
      <c r="T94">
        <v>407</v>
      </c>
      <c r="U94">
        <v>13</v>
      </c>
      <c r="V94" s="1">
        <v>44986</v>
      </c>
      <c r="W94">
        <v>31.3</v>
      </c>
      <c r="X94">
        <v>8.39</v>
      </c>
      <c r="Y94">
        <v>22.3</v>
      </c>
      <c r="Z94">
        <v>0</v>
      </c>
      <c r="AA94">
        <v>0</v>
      </c>
      <c r="AB94">
        <v>3</v>
      </c>
      <c r="AC94">
        <v>0</v>
      </c>
      <c r="AD94">
        <f t="shared" ca="1" si="1"/>
        <v>8</v>
      </c>
      <c r="AE94">
        <f>AVERAGE(Table1[[#This Row],[Runs Conceded]]/Table1[[#This Row],[Wickets Taken]])</f>
        <v>31.307692307692307</v>
      </c>
    </row>
    <row r="95" spans="1:31" x14ac:dyDescent="0.3">
      <c r="A95" t="s">
        <v>91</v>
      </c>
      <c r="B95" t="s">
        <v>112</v>
      </c>
      <c r="C95" t="s">
        <v>30</v>
      </c>
      <c r="D95">
        <v>14</v>
      </c>
      <c r="E95">
        <v>7</v>
      </c>
      <c r="F95">
        <v>1</v>
      </c>
      <c r="G95">
        <v>51</v>
      </c>
      <c r="H95">
        <v>13</v>
      </c>
      <c r="I95">
        <v>8.5</v>
      </c>
      <c r="J95">
        <v>50</v>
      </c>
      <c r="K95">
        <v>102</v>
      </c>
      <c r="L95">
        <v>0</v>
      </c>
      <c r="M95">
        <v>0</v>
      </c>
      <c r="N95">
        <v>0</v>
      </c>
      <c r="O95">
        <v>3</v>
      </c>
      <c r="P95">
        <v>1</v>
      </c>
      <c r="Q95">
        <v>14</v>
      </c>
      <c r="R95">
        <v>45.4</v>
      </c>
      <c r="S95">
        <v>0</v>
      </c>
      <c r="T95">
        <v>410</v>
      </c>
      <c r="U95">
        <v>13</v>
      </c>
      <c r="V95" s="1">
        <v>45323</v>
      </c>
      <c r="W95">
        <v>31.53</v>
      </c>
      <c r="X95">
        <v>8.9700000000000006</v>
      </c>
      <c r="Y95">
        <v>21</v>
      </c>
      <c r="Z95">
        <v>0</v>
      </c>
      <c r="AA95">
        <v>0</v>
      </c>
      <c r="AB95">
        <v>3</v>
      </c>
      <c r="AC95">
        <v>0</v>
      </c>
      <c r="AD95">
        <f t="shared" ca="1" si="1"/>
        <v>4</v>
      </c>
      <c r="AE95">
        <f>AVERAGE(Table1[[#This Row],[Runs Conceded]]/Table1[[#This Row],[Wickets Taken]])</f>
        <v>31.53846153846154</v>
      </c>
    </row>
    <row r="96" spans="1:31" x14ac:dyDescent="0.3">
      <c r="A96" t="s">
        <v>91</v>
      </c>
      <c r="B96" t="s">
        <v>112</v>
      </c>
      <c r="C96" t="s">
        <v>32</v>
      </c>
      <c r="D96">
        <v>9</v>
      </c>
      <c r="E96">
        <v>4</v>
      </c>
      <c r="F96">
        <v>3</v>
      </c>
      <c r="G96">
        <v>10</v>
      </c>
      <c r="H96" t="s">
        <v>113</v>
      </c>
      <c r="I96">
        <v>10</v>
      </c>
      <c r="J96">
        <v>13</v>
      </c>
      <c r="K96">
        <v>76.92</v>
      </c>
      <c r="L96">
        <v>0</v>
      </c>
      <c r="M96">
        <v>0</v>
      </c>
      <c r="N96">
        <v>0</v>
      </c>
      <c r="O96">
        <v>1</v>
      </c>
      <c r="P96">
        <v>0</v>
      </c>
      <c r="Q96">
        <v>9</v>
      </c>
      <c r="R96">
        <v>29.4</v>
      </c>
      <c r="S96">
        <v>0</v>
      </c>
      <c r="T96">
        <v>322</v>
      </c>
      <c r="U96">
        <v>7</v>
      </c>
      <c r="V96" s="1">
        <v>12086</v>
      </c>
      <c r="W96">
        <v>46</v>
      </c>
      <c r="X96">
        <v>10.85</v>
      </c>
      <c r="Y96">
        <v>25.4</v>
      </c>
      <c r="Z96">
        <v>0</v>
      </c>
      <c r="AA96">
        <v>0</v>
      </c>
      <c r="AB96">
        <v>2</v>
      </c>
      <c r="AC96">
        <v>0</v>
      </c>
      <c r="AD96">
        <f t="shared" ca="1" si="1"/>
        <v>12</v>
      </c>
      <c r="AE96">
        <f>AVERAGE(Table1[[#This Row],[Runs Conceded]]/Table1[[#This Row],[Wickets Taken]])</f>
        <v>46</v>
      </c>
    </row>
    <row r="97" spans="1:31" x14ac:dyDescent="0.3">
      <c r="A97" t="s">
        <v>91</v>
      </c>
      <c r="B97" t="s">
        <v>114</v>
      </c>
      <c r="C97" t="s">
        <v>28</v>
      </c>
      <c r="D97">
        <v>3</v>
      </c>
      <c r="E97">
        <v>3</v>
      </c>
      <c r="F97">
        <v>1</v>
      </c>
      <c r="G97">
        <v>14</v>
      </c>
      <c r="H97" t="s">
        <v>115</v>
      </c>
      <c r="I97">
        <v>7</v>
      </c>
      <c r="J97">
        <v>13</v>
      </c>
      <c r="K97">
        <v>107.69</v>
      </c>
      <c r="L97">
        <v>0</v>
      </c>
      <c r="M97">
        <v>0</v>
      </c>
      <c r="N97">
        <v>1</v>
      </c>
      <c r="O97">
        <v>2</v>
      </c>
      <c r="P97">
        <v>0</v>
      </c>
      <c r="Q97" t="s">
        <v>37</v>
      </c>
      <c r="R97" t="s">
        <v>37</v>
      </c>
      <c r="S97" t="s">
        <v>37</v>
      </c>
      <c r="T97" t="s">
        <v>37</v>
      </c>
      <c r="U97" t="s">
        <v>37</v>
      </c>
      <c r="V97" t="s">
        <v>37</v>
      </c>
      <c r="W97" t="s">
        <v>37</v>
      </c>
      <c r="X97" t="s">
        <v>37</v>
      </c>
      <c r="Y97" t="s">
        <v>37</v>
      </c>
      <c r="Z97" t="s">
        <v>37</v>
      </c>
      <c r="AA97" t="s">
        <v>37</v>
      </c>
      <c r="AB97">
        <v>1</v>
      </c>
      <c r="AC97">
        <v>0</v>
      </c>
      <c r="AD97">
        <f t="shared" ca="1" si="1"/>
        <v>9</v>
      </c>
      <c r="AE97" t="e">
        <f>AVERAGE(Table1[[#This Row],[Runs Conceded]]/Table1[[#This Row],[Wickets Taken]])</f>
        <v>#VALUE!</v>
      </c>
    </row>
    <row r="98" spans="1:31" x14ac:dyDescent="0.3">
      <c r="A98" t="s">
        <v>91</v>
      </c>
      <c r="B98" t="s">
        <v>116</v>
      </c>
      <c r="C98" t="s">
        <v>28</v>
      </c>
      <c r="D98">
        <v>3</v>
      </c>
      <c r="E98">
        <v>3</v>
      </c>
      <c r="F98">
        <v>1</v>
      </c>
      <c r="G98">
        <v>5</v>
      </c>
      <c r="H98">
        <v>4</v>
      </c>
      <c r="I98">
        <v>2.5</v>
      </c>
      <c r="J98">
        <v>14</v>
      </c>
      <c r="K98">
        <v>35.71</v>
      </c>
      <c r="L98">
        <v>0</v>
      </c>
      <c r="M98">
        <v>0</v>
      </c>
      <c r="N98">
        <v>0</v>
      </c>
      <c r="O98">
        <v>0</v>
      </c>
      <c r="P98">
        <v>0</v>
      </c>
      <c r="Q98">
        <v>3</v>
      </c>
      <c r="R98">
        <v>11</v>
      </c>
      <c r="S98">
        <v>0</v>
      </c>
      <c r="T98">
        <v>106</v>
      </c>
      <c r="U98">
        <v>2</v>
      </c>
      <c r="V98" s="1">
        <v>12785</v>
      </c>
      <c r="W98">
        <v>53</v>
      </c>
      <c r="X98">
        <v>9.6300000000000008</v>
      </c>
      <c r="Y98">
        <v>33</v>
      </c>
      <c r="Z98">
        <v>0</v>
      </c>
      <c r="AA98">
        <v>0</v>
      </c>
      <c r="AB98">
        <v>1</v>
      </c>
      <c r="AC98">
        <v>0</v>
      </c>
      <c r="AD98">
        <f t="shared" ca="1" si="1"/>
        <v>13</v>
      </c>
      <c r="AE98">
        <f>AVERAGE(Table1[[#This Row],[Runs Conceded]]/Table1[[#This Row],[Wickets Taken]])</f>
        <v>53</v>
      </c>
    </row>
    <row r="99" spans="1:31" x14ac:dyDescent="0.3">
      <c r="A99" t="s">
        <v>91</v>
      </c>
      <c r="B99" t="s">
        <v>117</v>
      </c>
      <c r="C99" t="s">
        <v>28</v>
      </c>
      <c r="D99">
        <v>1</v>
      </c>
      <c r="E99">
        <v>1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1</v>
      </c>
      <c r="O99">
        <v>0</v>
      </c>
      <c r="P99">
        <v>0</v>
      </c>
      <c r="Q99">
        <v>1</v>
      </c>
      <c r="R99">
        <v>3</v>
      </c>
      <c r="S99">
        <v>0</v>
      </c>
      <c r="T99">
        <v>29</v>
      </c>
      <c r="U99">
        <v>0</v>
      </c>
      <c r="V99" t="s">
        <v>37</v>
      </c>
      <c r="W99" t="s">
        <v>37</v>
      </c>
      <c r="X99">
        <v>9.66</v>
      </c>
      <c r="Y99" t="s">
        <v>37</v>
      </c>
      <c r="Z99">
        <v>0</v>
      </c>
      <c r="AA99">
        <v>0</v>
      </c>
      <c r="AB99">
        <v>0</v>
      </c>
      <c r="AC99">
        <v>0</v>
      </c>
      <c r="AD99">
        <f t="shared" ca="1" si="1"/>
        <v>18</v>
      </c>
      <c r="AE99" t="e">
        <f>AVERAGE(Table1[[#This Row],[Runs Conceded]]/Table1[[#This Row],[Wickets Taken]])</f>
        <v>#DIV/0!</v>
      </c>
    </row>
    <row r="100" spans="1:31" x14ac:dyDescent="0.3">
      <c r="A100" t="s">
        <v>91</v>
      </c>
      <c r="B100" t="s">
        <v>117</v>
      </c>
      <c r="C100" t="s">
        <v>30</v>
      </c>
      <c r="D100">
        <v>4</v>
      </c>
      <c r="E100">
        <v>2</v>
      </c>
      <c r="F100">
        <v>0</v>
      </c>
      <c r="G100">
        <v>12</v>
      </c>
      <c r="H100">
        <v>10</v>
      </c>
      <c r="I100">
        <v>6</v>
      </c>
      <c r="J100">
        <v>19</v>
      </c>
      <c r="K100">
        <v>63.15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4</v>
      </c>
      <c r="R100">
        <v>7</v>
      </c>
      <c r="S100">
        <v>0</v>
      </c>
      <c r="T100">
        <v>61</v>
      </c>
      <c r="U100">
        <v>1</v>
      </c>
      <c r="V100" s="1">
        <v>41640</v>
      </c>
      <c r="W100">
        <v>61</v>
      </c>
      <c r="X100">
        <v>8.7100000000000009</v>
      </c>
      <c r="Y100">
        <v>42</v>
      </c>
      <c r="Z100">
        <v>0</v>
      </c>
      <c r="AA100">
        <v>0</v>
      </c>
      <c r="AB100">
        <v>1</v>
      </c>
      <c r="AC100">
        <v>0</v>
      </c>
      <c r="AD100">
        <f t="shared" ca="1" si="1"/>
        <v>12</v>
      </c>
      <c r="AE100">
        <f>AVERAGE(Table1[[#This Row],[Runs Conceded]]/Table1[[#This Row],[Wickets Taken]])</f>
        <v>61</v>
      </c>
    </row>
    <row r="101" spans="1:31" x14ac:dyDescent="0.3">
      <c r="A101" t="s">
        <v>91</v>
      </c>
      <c r="B101" t="s">
        <v>118</v>
      </c>
      <c r="C101" t="s">
        <v>28</v>
      </c>
      <c r="D101">
        <v>2</v>
      </c>
      <c r="E101">
        <v>2</v>
      </c>
      <c r="F101">
        <v>2</v>
      </c>
      <c r="G101">
        <v>14</v>
      </c>
      <c r="H101" t="s">
        <v>119</v>
      </c>
      <c r="I101" t="s">
        <v>37</v>
      </c>
      <c r="J101">
        <v>6</v>
      </c>
      <c r="K101">
        <v>233.33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2</v>
      </c>
      <c r="R101">
        <v>7</v>
      </c>
      <c r="S101">
        <v>0</v>
      </c>
      <c r="T101">
        <v>56</v>
      </c>
      <c r="U101">
        <v>2</v>
      </c>
      <c r="V101" s="1">
        <v>44197</v>
      </c>
      <c r="W101">
        <v>28</v>
      </c>
      <c r="X101">
        <v>8</v>
      </c>
      <c r="Y101">
        <v>21</v>
      </c>
      <c r="Z101">
        <v>0</v>
      </c>
      <c r="AA101">
        <v>0</v>
      </c>
      <c r="AB101">
        <v>0</v>
      </c>
      <c r="AC101">
        <v>0</v>
      </c>
      <c r="AD101">
        <f t="shared" ca="1" si="1"/>
        <v>4</v>
      </c>
      <c r="AE101">
        <f>AVERAGE(Table1[[#This Row],[Runs Conceded]]/Table1[[#This Row],[Wickets Taken]])</f>
        <v>28</v>
      </c>
    </row>
    <row r="102" spans="1:31" x14ac:dyDescent="0.3">
      <c r="A102" t="s">
        <v>91</v>
      </c>
      <c r="B102" t="s">
        <v>120</v>
      </c>
      <c r="C102" t="s">
        <v>28</v>
      </c>
      <c r="D102">
        <v>14</v>
      </c>
      <c r="E102">
        <v>4</v>
      </c>
      <c r="F102">
        <v>4</v>
      </c>
      <c r="G102">
        <v>8</v>
      </c>
      <c r="H102" t="s">
        <v>121</v>
      </c>
      <c r="I102" t="s">
        <v>37</v>
      </c>
      <c r="J102">
        <v>9</v>
      </c>
      <c r="K102">
        <v>88.88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14</v>
      </c>
      <c r="R102">
        <v>50</v>
      </c>
      <c r="S102">
        <v>1</v>
      </c>
      <c r="T102">
        <v>366</v>
      </c>
      <c r="U102">
        <v>15</v>
      </c>
      <c r="V102" s="2">
        <v>44137</v>
      </c>
      <c r="W102">
        <v>24.4</v>
      </c>
      <c r="X102">
        <v>7.32</v>
      </c>
      <c r="Y102">
        <v>20</v>
      </c>
      <c r="Z102">
        <v>0</v>
      </c>
      <c r="AA102">
        <v>0</v>
      </c>
      <c r="AB102">
        <v>2</v>
      </c>
      <c r="AC102">
        <v>0</v>
      </c>
      <c r="AD102">
        <f t="shared" ca="1" si="1"/>
        <v>12</v>
      </c>
      <c r="AE102">
        <f>AVERAGE(Table1[[#This Row],[Runs Conceded]]/Table1[[#This Row],[Wickets Taken]])</f>
        <v>24.4</v>
      </c>
    </row>
    <row r="103" spans="1:31" x14ac:dyDescent="0.3">
      <c r="A103" t="s">
        <v>91</v>
      </c>
      <c r="B103" t="s">
        <v>120</v>
      </c>
      <c r="C103" t="s">
        <v>30</v>
      </c>
      <c r="D103">
        <v>13</v>
      </c>
      <c r="E103">
        <v>4</v>
      </c>
      <c r="F103">
        <v>4</v>
      </c>
      <c r="G103">
        <v>7</v>
      </c>
      <c r="H103" t="s">
        <v>121</v>
      </c>
      <c r="I103" t="s">
        <v>37</v>
      </c>
      <c r="J103">
        <v>6</v>
      </c>
      <c r="K103">
        <v>116.66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13</v>
      </c>
      <c r="R103">
        <v>48</v>
      </c>
      <c r="S103">
        <v>0</v>
      </c>
      <c r="T103">
        <v>398</v>
      </c>
      <c r="U103">
        <v>17</v>
      </c>
      <c r="V103" s="1">
        <v>43922</v>
      </c>
      <c r="W103">
        <v>23.41</v>
      </c>
      <c r="X103">
        <v>8.2899999999999991</v>
      </c>
      <c r="Y103">
        <v>16.899999999999999</v>
      </c>
      <c r="Z103">
        <v>1</v>
      </c>
      <c r="AA103">
        <v>0</v>
      </c>
      <c r="AB103">
        <v>3</v>
      </c>
      <c r="AC103">
        <v>0</v>
      </c>
      <c r="AD103">
        <f t="shared" ca="1" si="1"/>
        <v>8</v>
      </c>
      <c r="AE103">
        <f>AVERAGE(Table1[[#This Row],[Runs Conceded]]/Table1[[#This Row],[Wickets Taken]])</f>
        <v>23.411764705882351</v>
      </c>
    </row>
    <row r="104" spans="1:31" x14ac:dyDescent="0.3">
      <c r="A104" t="s">
        <v>91</v>
      </c>
      <c r="B104" t="s">
        <v>122</v>
      </c>
      <c r="C104" t="s">
        <v>28</v>
      </c>
      <c r="D104">
        <v>2</v>
      </c>
      <c r="E104" t="s">
        <v>37</v>
      </c>
      <c r="F104" t="s">
        <v>37</v>
      </c>
      <c r="G104" t="s">
        <v>37</v>
      </c>
      <c r="H104" t="s">
        <v>37</v>
      </c>
      <c r="I104" t="s">
        <v>37</v>
      </c>
      <c r="J104" t="s">
        <v>37</v>
      </c>
      <c r="K104" t="s">
        <v>37</v>
      </c>
      <c r="L104" t="s">
        <v>37</v>
      </c>
      <c r="M104" t="s">
        <v>37</v>
      </c>
      <c r="N104" t="s">
        <v>37</v>
      </c>
      <c r="O104" t="s">
        <v>37</v>
      </c>
      <c r="P104" t="s">
        <v>37</v>
      </c>
      <c r="Q104">
        <v>2</v>
      </c>
      <c r="R104">
        <v>6</v>
      </c>
      <c r="S104">
        <v>0</v>
      </c>
      <c r="T104">
        <v>43</v>
      </c>
      <c r="U104">
        <v>0</v>
      </c>
      <c r="V104" t="s">
        <v>37</v>
      </c>
      <c r="W104" t="s">
        <v>37</v>
      </c>
      <c r="X104">
        <v>7.16</v>
      </c>
      <c r="Y104" t="s">
        <v>37</v>
      </c>
      <c r="Z104">
        <v>0</v>
      </c>
      <c r="AA104">
        <v>0</v>
      </c>
      <c r="AB104">
        <v>0</v>
      </c>
      <c r="AC104">
        <v>0</v>
      </c>
      <c r="AD104">
        <f t="shared" ca="1" si="1"/>
        <v>9</v>
      </c>
      <c r="AE104" t="e">
        <f>AVERAGE(Table1[[#This Row],[Runs Conceded]]/Table1[[#This Row],[Wickets Taken]])</f>
        <v>#DIV/0!</v>
      </c>
    </row>
    <row r="105" spans="1:31" x14ac:dyDescent="0.3">
      <c r="A105" t="s">
        <v>91</v>
      </c>
      <c r="B105" t="s">
        <v>122</v>
      </c>
      <c r="C105" t="s">
        <v>30</v>
      </c>
      <c r="D105">
        <v>1</v>
      </c>
      <c r="E105">
        <v>1</v>
      </c>
      <c r="F105">
        <v>0</v>
      </c>
      <c r="G105">
        <v>15</v>
      </c>
      <c r="H105">
        <v>15</v>
      </c>
      <c r="I105">
        <v>15</v>
      </c>
      <c r="J105">
        <v>12</v>
      </c>
      <c r="K105">
        <v>125</v>
      </c>
      <c r="L105">
        <v>0</v>
      </c>
      <c r="M105">
        <v>0</v>
      </c>
      <c r="N105">
        <v>0</v>
      </c>
      <c r="O105">
        <v>2</v>
      </c>
      <c r="P105">
        <v>0</v>
      </c>
      <c r="Q105">
        <v>1</v>
      </c>
      <c r="R105">
        <v>2</v>
      </c>
      <c r="S105">
        <v>0</v>
      </c>
      <c r="T105">
        <v>26</v>
      </c>
      <c r="U105">
        <v>0</v>
      </c>
      <c r="V105" t="s">
        <v>37</v>
      </c>
      <c r="W105" t="s">
        <v>37</v>
      </c>
      <c r="X105">
        <v>13</v>
      </c>
      <c r="Y105" t="s">
        <v>37</v>
      </c>
      <c r="Z105">
        <v>0</v>
      </c>
      <c r="AA105">
        <v>0</v>
      </c>
      <c r="AB105">
        <v>0</v>
      </c>
      <c r="AC105">
        <v>0</v>
      </c>
      <c r="AD105">
        <f t="shared" ca="1" si="1"/>
        <v>10</v>
      </c>
      <c r="AE105" t="e">
        <f>AVERAGE(Table1[[#This Row],[Runs Conceded]]/Table1[[#This Row],[Wickets Taken]])</f>
        <v>#DIV/0!</v>
      </c>
    </row>
    <row r="106" spans="1:31" x14ac:dyDescent="0.3">
      <c r="A106" t="s">
        <v>91</v>
      </c>
      <c r="B106" t="s">
        <v>123</v>
      </c>
      <c r="C106" t="s">
        <v>32</v>
      </c>
      <c r="D106">
        <v>8</v>
      </c>
      <c r="E106">
        <v>3</v>
      </c>
      <c r="F106">
        <v>0</v>
      </c>
      <c r="G106">
        <v>11</v>
      </c>
      <c r="H106">
        <v>8</v>
      </c>
      <c r="I106">
        <v>3.66</v>
      </c>
      <c r="J106">
        <v>18</v>
      </c>
      <c r="K106">
        <v>61.11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8</v>
      </c>
      <c r="R106">
        <v>26.1</v>
      </c>
      <c r="S106">
        <v>1</v>
      </c>
      <c r="T106">
        <v>223</v>
      </c>
      <c r="U106">
        <v>11</v>
      </c>
      <c r="V106" s="1">
        <v>41760</v>
      </c>
      <c r="W106">
        <v>20.27</v>
      </c>
      <c r="X106">
        <v>8.52</v>
      </c>
      <c r="Y106">
        <v>14.2</v>
      </c>
      <c r="Z106">
        <v>0</v>
      </c>
      <c r="AA106">
        <v>1</v>
      </c>
      <c r="AB106">
        <v>2</v>
      </c>
      <c r="AC106">
        <v>0</v>
      </c>
      <c r="AD106">
        <f t="shared" ca="1" si="1"/>
        <v>9</v>
      </c>
      <c r="AE106">
        <f>AVERAGE(Table1[[#This Row],[Runs Conceded]]/Table1[[#This Row],[Wickets Taken]])</f>
        <v>20.272727272727273</v>
      </c>
    </row>
    <row r="107" spans="1:31" x14ac:dyDescent="0.3">
      <c r="A107" t="s">
        <v>91</v>
      </c>
      <c r="B107" t="s">
        <v>123</v>
      </c>
      <c r="C107" t="s">
        <v>92</v>
      </c>
      <c r="D107">
        <v>4</v>
      </c>
      <c r="E107" t="s">
        <v>37</v>
      </c>
      <c r="F107" t="s">
        <v>37</v>
      </c>
      <c r="G107" t="s">
        <v>37</v>
      </c>
      <c r="H107" t="s">
        <v>37</v>
      </c>
      <c r="I107" t="s">
        <v>37</v>
      </c>
      <c r="J107" t="s">
        <v>37</v>
      </c>
      <c r="K107" t="s">
        <v>37</v>
      </c>
      <c r="L107" t="s">
        <v>37</v>
      </c>
      <c r="M107" t="s">
        <v>37</v>
      </c>
      <c r="N107" t="s">
        <v>37</v>
      </c>
      <c r="O107" t="s">
        <v>37</v>
      </c>
      <c r="P107" t="s">
        <v>37</v>
      </c>
      <c r="Q107">
        <v>4</v>
      </c>
      <c r="R107">
        <v>16</v>
      </c>
      <c r="S107">
        <v>0</v>
      </c>
      <c r="T107">
        <v>152</v>
      </c>
      <c r="U107">
        <v>3</v>
      </c>
      <c r="V107" s="1">
        <v>12086</v>
      </c>
      <c r="W107">
        <v>50.66</v>
      </c>
      <c r="X107">
        <v>9.5</v>
      </c>
      <c r="Y107">
        <v>32</v>
      </c>
      <c r="Z107">
        <v>0</v>
      </c>
      <c r="AA107">
        <v>0</v>
      </c>
      <c r="AB107">
        <v>1</v>
      </c>
      <c r="AC107">
        <v>0</v>
      </c>
      <c r="AD107">
        <f t="shared" ca="1" si="1"/>
        <v>16</v>
      </c>
      <c r="AE107">
        <f>AVERAGE(Table1[[#This Row],[Runs Conceded]]/Table1[[#This Row],[Wickets Taken]])</f>
        <v>50.666666666666664</v>
      </c>
    </row>
    <row r="108" spans="1:31" x14ac:dyDescent="0.3">
      <c r="A108" t="s">
        <v>91</v>
      </c>
      <c r="B108" t="s">
        <v>124</v>
      </c>
      <c r="C108" t="s">
        <v>30</v>
      </c>
      <c r="D108">
        <v>7</v>
      </c>
      <c r="E108">
        <v>7</v>
      </c>
      <c r="F108">
        <v>1</v>
      </c>
      <c r="G108">
        <v>132</v>
      </c>
      <c r="H108" t="s">
        <v>125</v>
      </c>
      <c r="I108">
        <v>22</v>
      </c>
      <c r="J108">
        <v>88</v>
      </c>
      <c r="K108">
        <v>150</v>
      </c>
      <c r="L108">
        <v>0</v>
      </c>
      <c r="M108">
        <v>1</v>
      </c>
      <c r="N108">
        <v>1</v>
      </c>
      <c r="O108">
        <v>17</v>
      </c>
      <c r="P108">
        <v>5</v>
      </c>
      <c r="Q108" t="s">
        <v>37</v>
      </c>
      <c r="R108" t="s">
        <v>37</v>
      </c>
      <c r="S108" t="s">
        <v>37</v>
      </c>
      <c r="T108" t="s">
        <v>37</v>
      </c>
      <c r="U108" t="s">
        <v>37</v>
      </c>
      <c r="V108" t="s">
        <v>37</v>
      </c>
      <c r="W108" t="s">
        <v>37</v>
      </c>
      <c r="X108" t="s">
        <v>37</v>
      </c>
      <c r="Y108" t="s">
        <v>37</v>
      </c>
      <c r="Z108" t="s">
        <v>37</v>
      </c>
      <c r="AA108" t="s">
        <v>37</v>
      </c>
      <c r="AB108">
        <v>6</v>
      </c>
      <c r="AC108">
        <v>0</v>
      </c>
      <c r="AD108">
        <f t="shared" ca="1" si="1"/>
        <v>9</v>
      </c>
      <c r="AE108" t="e">
        <f>AVERAGE(Table1[[#This Row],[Runs Conceded]]/Table1[[#This Row],[Wickets Taken]])</f>
        <v>#VALUE!</v>
      </c>
    </row>
    <row r="109" spans="1:31" x14ac:dyDescent="0.3">
      <c r="A109" t="s">
        <v>91</v>
      </c>
      <c r="B109" t="s">
        <v>126</v>
      </c>
      <c r="C109" t="s">
        <v>32</v>
      </c>
      <c r="D109">
        <v>14</v>
      </c>
      <c r="E109">
        <v>14</v>
      </c>
      <c r="F109">
        <v>2</v>
      </c>
      <c r="G109">
        <v>659</v>
      </c>
      <c r="H109" t="s">
        <v>127</v>
      </c>
      <c r="I109">
        <v>54.91</v>
      </c>
      <c r="J109">
        <v>416</v>
      </c>
      <c r="K109">
        <v>158.41</v>
      </c>
      <c r="L109">
        <v>0</v>
      </c>
      <c r="M109">
        <v>6</v>
      </c>
      <c r="N109">
        <v>0</v>
      </c>
      <c r="O109">
        <v>66</v>
      </c>
      <c r="P109">
        <v>32</v>
      </c>
      <c r="Q109" t="s">
        <v>37</v>
      </c>
      <c r="R109" t="s">
        <v>37</v>
      </c>
      <c r="S109" t="s">
        <v>37</v>
      </c>
      <c r="T109" t="s">
        <v>37</v>
      </c>
      <c r="U109" t="s">
        <v>37</v>
      </c>
      <c r="V109" t="s">
        <v>37</v>
      </c>
      <c r="W109" t="s">
        <v>37</v>
      </c>
      <c r="X109" t="s">
        <v>37</v>
      </c>
      <c r="Y109" t="s">
        <v>37</v>
      </c>
      <c r="Z109" t="s">
        <v>37</v>
      </c>
      <c r="AA109" t="s">
        <v>37</v>
      </c>
      <c r="AB109">
        <v>10</v>
      </c>
      <c r="AC109">
        <v>1</v>
      </c>
      <c r="AD109">
        <f t="shared" ca="1" si="1"/>
        <v>5</v>
      </c>
      <c r="AE109" t="e">
        <f>AVERAGE(Table1[[#This Row],[Runs Conceded]]/Table1[[#This Row],[Wickets Taken]])</f>
        <v>#VALUE!</v>
      </c>
    </row>
    <row r="110" spans="1:31" x14ac:dyDescent="0.3">
      <c r="A110" t="s">
        <v>91</v>
      </c>
      <c r="B110" t="s">
        <v>126</v>
      </c>
      <c r="C110" t="s">
        <v>92</v>
      </c>
      <c r="D110">
        <v>14</v>
      </c>
      <c r="E110">
        <v>14</v>
      </c>
      <c r="F110">
        <v>3</v>
      </c>
      <c r="G110">
        <v>593</v>
      </c>
      <c r="H110" t="s">
        <v>128</v>
      </c>
      <c r="I110">
        <v>53.9</v>
      </c>
      <c r="J110">
        <v>438</v>
      </c>
      <c r="K110">
        <v>135.38</v>
      </c>
      <c r="L110">
        <v>1</v>
      </c>
      <c r="M110">
        <v>6</v>
      </c>
      <c r="N110">
        <v>0</v>
      </c>
      <c r="O110">
        <v>49</v>
      </c>
      <c r="P110">
        <v>25</v>
      </c>
      <c r="Q110" t="s">
        <v>37</v>
      </c>
      <c r="R110" t="s">
        <v>37</v>
      </c>
      <c r="S110" t="s">
        <v>37</v>
      </c>
      <c r="T110" t="s">
        <v>37</v>
      </c>
      <c r="U110" t="s">
        <v>37</v>
      </c>
      <c r="V110" t="s">
        <v>37</v>
      </c>
      <c r="W110" t="s">
        <v>37</v>
      </c>
      <c r="X110" t="s">
        <v>37</v>
      </c>
      <c r="Y110" t="s">
        <v>37</v>
      </c>
      <c r="Z110" t="s">
        <v>37</v>
      </c>
      <c r="AA110" t="s">
        <v>37</v>
      </c>
      <c r="AB110">
        <v>7</v>
      </c>
      <c r="AC110">
        <v>0</v>
      </c>
      <c r="AD110">
        <f t="shared" ca="1" si="1"/>
        <v>7</v>
      </c>
      <c r="AE110" t="e">
        <f>AVERAGE(Table1[[#This Row],[Runs Conceded]]/Table1[[#This Row],[Wickets Taken]])</f>
        <v>#VALUE!</v>
      </c>
    </row>
    <row r="111" spans="1:31" x14ac:dyDescent="0.3">
      <c r="A111" t="s">
        <v>91</v>
      </c>
      <c r="B111" t="s">
        <v>129</v>
      </c>
      <c r="C111" t="s">
        <v>92</v>
      </c>
      <c r="D111">
        <v>8</v>
      </c>
      <c r="E111">
        <v>5</v>
      </c>
      <c r="F111">
        <v>1</v>
      </c>
      <c r="G111">
        <v>180</v>
      </c>
      <c r="H111">
        <v>67</v>
      </c>
      <c r="I111">
        <v>45</v>
      </c>
      <c r="J111">
        <v>143</v>
      </c>
      <c r="K111">
        <v>125.87</v>
      </c>
      <c r="L111">
        <v>0</v>
      </c>
      <c r="M111">
        <v>1</v>
      </c>
      <c r="N111">
        <v>0</v>
      </c>
      <c r="O111">
        <v>19</v>
      </c>
      <c r="P111">
        <v>4</v>
      </c>
      <c r="Q111">
        <v>1</v>
      </c>
      <c r="R111">
        <v>0.2</v>
      </c>
      <c r="S111">
        <v>0</v>
      </c>
      <c r="T111">
        <v>6</v>
      </c>
      <c r="U111">
        <v>0</v>
      </c>
      <c r="V111" t="s">
        <v>37</v>
      </c>
      <c r="W111" t="s">
        <v>37</v>
      </c>
      <c r="X111">
        <v>18</v>
      </c>
      <c r="Y111" t="s">
        <v>37</v>
      </c>
      <c r="Z111">
        <v>0</v>
      </c>
      <c r="AA111">
        <v>0</v>
      </c>
      <c r="AB111">
        <v>0</v>
      </c>
      <c r="AC111">
        <v>0</v>
      </c>
      <c r="AD111">
        <f t="shared" ca="1" si="1"/>
        <v>18</v>
      </c>
      <c r="AE111" t="e">
        <f>AVERAGE(Table1[[#This Row],[Runs Conceded]]/Table1[[#This Row],[Wickets Taken]])</f>
        <v>#DIV/0!</v>
      </c>
    </row>
    <row r="112" spans="1:31" x14ac:dyDescent="0.3">
      <c r="A112" t="s">
        <v>91</v>
      </c>
      <c r="B112" t="s">
        <v>130</v>
      </c>
      <c r="C112" t="s">
        <v>32</v>
      </c>
      <c r="D112">
        <v>11</v>
      </c>
      <c r="E112">
        <v>11</v>
      </c>
      <c r="F112">
        <v>2</v>
      </c>
      <c r="G112">
        <v>368</v>
      </c>
      <c r="H112" t="s">
        <v>99</v>
      </c>
      <c r="I112">
        <v>40.880000000000003</v>
      </c>
      <c r="J112">
        <v>252</v>
      </c>
      <c r="K112">
        <v>146.03</v>
      </c>
      <c r="L112">
        <v>1</v>
      </c>
      <c r="M112">
        <v>3</v>
      </c>
      <c r="N112">
        <v>1</v>
      </c>
      <c r="O112">
        <v>30</v>
      </c>
      <c r="P112">
        <v>27</v>
      </c>
      <c r="Q112" t="s">
        <v>37</v>
      </c>
      <c r="R112" t="s">
        <v>37</v>
      </c>
      <c r="S112" t="s">
        <v>37</v>
      </c>
      <c r="T112" t="s">
        <v>37</v>
      </c>
      <c r="U112" t="s">
        <v>37</v>
      </c>
      <c r="V112" t="s">
        <v>37</v>
      </c>
      <c r="W112" t="s">
        <v>37</v>
      </c>
      <c r="X112" t="s">
        <v>37</v>
      </c>
      <c r="Y112" t="s">
        <v>37</v>
      </c>
      <c r="Z112" t="s">
        <v>37</v>
      </c>
      <c r="AA112" t="s">
        <v>37</v>
      </c>
      <c r="AB112">
        <v>2</v>
      </c>
      <c r="AC112">
        <v>0</v>
      </c>
      <c r="AD112">
        <f t="shared" ca="1" si="1"/>
        <v>4</v>
      </c>
      <c r="AE112" t="e">
        <f>AVERAGE(Table1[[#This Row],[Runs Conceded]]/Table1[[#This Row],[Wickets Taken]])</f>
        <v>#VALUE!</v>
      </c>
    </row>
    <row r="113" spans="1:31" x14ac:dyDescent="0.3">
      <c r="A113" t="s">
        <v>91</v>
      </c>
      <c r="B113" t="s">
        <v>130</v>
      </c>
      <c r="C113" t="s">
        <v>92</v>
      </c>
      <c r="D113">
        <v>13</v>
      </c>
      <c r="E113">
        <v>13</v>
      </c>
      <c r="F113">
        <v>1</v>
      </c>
      <c r="G113">
        <v>490</v>
      </c>
      <c r="H113" t="s">
        <v>131</v>
      </c>
      <c r="I113">
        <v>40.83</v>
      </c>
      <c r="J113">
        <v>319</v>
      </c>
      <c r="K113">
        <v>153.6</v>
      </c>
      <c r="L113">
        <v>0</v>
      </c>
      <c r="M113">
        <v>4</v>
      </c>
      <c r="N113">
        <v>0</v>
      </c>
      <c r="O113">
        <v>45</v>
      </c>
      <c r="P113">
        <v>34</v>
      </c>
      <c r="Q113" t="s">
        <v>37</v>
      </c>
      <c r="R113" t="s">
        <v>37</v>
      </c>
      <c r="S113" t="s">
        <v>37</v>
      </c>
      <c r="T113" t="s">
        <v>37</v>
      </c>
      <c r="U113" t="s">
        <v>37</v>
      </c>
      <c r="V113" t="s">
        <v>37</v>
      </c>
      <c r="W113" t="s">
        <v>37</v>
      </c>
      <c r="X113" t="s">
        <v>37</v>
      </c>
      <c r="Y113" t="s">
        <v>37</v>
      </c>
      <c r="Z113" t="s">
        <v>37</v>
      </c>
      <c r="AA113" t="s">
        <v>37</v>
      </c>
      <c r="AB113">
        <v>0</v>
      </c>
      <c r="AC113">
        <v>0</v>
      </c>
      <c r="AD113">
        <f t="shared" ca="1" si="1"/>
        <v>3</v>
      </c>
      <c r="AE113" t="e">
        <f>AVERAGE(Table1[[#This Row],[Runs Conceded]]/Table1[[#This Row],[Wickets Taken]])</f>
        <v>#VALUE!</v>
      </c>
    </row>
    <row r="114" spans="1:31" x14ac:dyDescent="0.3">
      <c r="A114" t="s">
        <v>91</v>
      </c>
      <c r="B114" t="s">
        <v>132</v>
      </c>
      <c r="C114" t="s">
        <v>30</v>
      </c>
      <c r="D114">
        <v>6</v>
      </c>
      <c r="E114">
        <v>2</v>
      </c>
      <c r="F114">
        <v>1</v>
      </c>
      <c r="G114">
        <v>4</v>
      </c>
      <c r="H114">
        <v>4</v>
      </c>
      <c r="I114">
        <v>4</v>
      </c>
      <c r="J114">
        <v>10</v>
      </c>
      <c r="K114">
        <v>40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</v>
      </c>
      <c r="R114">
        <v>20</v>
      </c>
      <c r="S114">
        <v>0</v>
      </c>
      <c r="T114">
        <v>163</v>
      </c>
      <c r="U114">
        <v>7</v>
      </c>
      <c r="V114" s="2">
        <v>43892</v>
      </c>
      <c r="W114">
        <v>23.28</v>
      </c>
      <c r="X114">
        <v>8.15</v>
      </c>
      <c r="Y114">
        <v>17.100000000000001</v>
      </c>
      <c r="Z114">
        <v>0</v>
      </c>
      <c r="AA114">
        <v>0</v>
      </c>
      <c r="AB114">
        <v>0</v>
      </c>
      <c r="AC114">
        <v>0</v>
      </c>
      <c r="AD114">
        <f t="shared" ca="1" si="1"/>
        <v>11</v>
      </c>
      <c r="AE114">
        <f>AVERAGE(Table1[[#This Row],[Runs Conceded]]/Table1[[#This Row],[Wickets Taken]])</f>
        <v>23.285714285714285</v>
      </c>
    </row>
    <row r="115" spans="1:31" x14ac:dyDescent="0.3">
      <c r="A115" t="s">
        <v>91</v>
      </c>
      <c r="B115" t="s">
        <v>133</v>
      </c>
      <c r="C115" t="s">
        <v>92</v>
      </c>
      <c r="D115">
        <v>13</v>
      </c>
      <c r="E115">
        <v>12</v>
      </c>
      <c r="F115">
        <v>8</v>
      </c>
      <c r="G115">
        <v>165</v>
      </c>
      <c r="H115" t="s">
        <v>134</v>
      </c>
      <c r="I115">
        <v>41.25</v>
      </c>
      <c r="J115">
        <v>120</v>
      </c>
      <c r="K115">
        <v>137.5</v>
      </c>
      <c r="L115">
        <v>0</v>
      </c>
      <c r="M115">
        <v>0</v>
      </c>
      <c r="N115">
        <v>1</v>
      </c>
      <c r="O115">
        <v>10</v>
      </c>
      <c r="P115">
        <v>4</v>
      </c>
      <c r="Q115">
        <v>2</v>
      </c>
      <c r="R115">
        <v>2</v>
      </c>
      <c r="S115">
        <v>0</v>
      </c>
      <c r="T115">
        <v>26</v>
      </c>
      <c r="U115">
        <v>0</v>
      </c>
      <c r="V115" t="s">
        <v>37</v>
      </c>
      <c r="W115" t="s">
        <v>37</v>
      </c>
      <c r="X115">
        <v>13</v>
      </c>
      <c r="Y115" t="s">
        <v>37</v>
      </c>
      <c r="Z115">
        <v>0</v>
      </c>
      <c r="AA115">
        <v>0</v>
      </c>
      <c r="AB115">
        <v>4</v>
      </c>
      <c r="AC115">
        <v>0</v>
      </c>
      <c r="AD115">
        <f t="shared" ca="1" si="1"/>
        <v>3</v>
      </c>
      <c r="AE115" t="e">
        <f>AVERAGE(Table1[[#This Row],[Runs Conceded]]/Table1[[#This Row],[Wickets Taken]])</f>
        <v>#DIV/0!</v>
      </c>
    </row>
    <row r="116" spans="1:31" x14ac:dyDescent="0.3">
      <c r="A116" t="s">
        <v>91</v>
      </c>
      <c r="B116" t="s">
        <v>135</v>
      </c>
      <c r="C116" t="s">
        <v>32</v>
      </c>
      <c r="D116">
        <v>8</v>
      </c>
      <c r="E116">
        <v>6</v>
      </c>
      <c r="F116">
        <v>0</v>
      </c>
      <c r="G116">
        <v>65</v>
      </c>
      <c r="H116">
        <v>20</v>
      </c>
      <c r="I116">
        <v>10.83</v>
      </c>
      <c r="J116">
        <v>73</v>
      </c>
      <c r="K116">
        <v>89.04</v>
      </c>
      <c r="L116">
        <v>0</v>
      </c>
      <c r="M116">
        <v>0</v>
      </c>
      <c r="N116">
        <v>0</v>
      </c>
      <c r="O116">
        <v>6</v>
      </c>
      <c r="P116">
        <v>2</v>
      </c>
      <c r="Q116">
        <v>2</v>
      </c>
      <c r="R116">
        <v>2</v>
      </c>
      <c r="S116">
        <v>0</v>
      </c>
      <c r="T116">
        <v>23</v>
      </c>
      <c r="U116">
        <v>0</v>
      </c>
      <c r="V116" t="s">
        <v>37</v>
      </c>
      <c r="W116" t="s">
        <v>37</v>
      </c>
      <c r="X116">
        <v>11.5</v>
      </c>
      <c r="Y116" t="s">
        <v>37</v>
      </c>
      <c r="Z116">
        <v>0</v>
      </c>
      <c r="AA116">
        <v>0</v>
      </c>
      <c r="AB116">
        <v>1</v>
      </c>
      <c r="AC116">
        <v>0</v>
      </c>
      <c r="AD116">
        <f t="shared" ca="1" si="1"/>
        <v>6</v>
      </c>
      <c r="AE116" t="e">
        <f>AVERAGE(Table1[[#This Row],[Runs Conceded]]/Table1[[#This Row],[Wickets Taken]])</f>
        <v>#DIV/0!</v>
      </c>
    </row>
    <row r="117" spans="1:31" x14ac:dyDescent="0.3">
      <c r="A117" t="s">
        <v>91</v>
      </c>
      <c r="B117" t="s">
        <v>136</v>
      </c>
      <c r="C117" t="s">
        <v>30</v>
      </c>
      <c r="D117">
        <v>4</v>
      </c>
      <c r="E117">
        <v>4</v>
      </c>
      <c r="F117">
        <v>0</v>
      </c>
      <c r="G117">
        <v>65</v>
      </c>
      <c r="H117">
        <v>26</v>
      </c>
      <c r="I117">
        <v>16.25</v>
      </c>
      <c r="J117">
        <v>62</v>
      </c>
      <c r="K117">
        <v>104.83</v>
      </c>
      <c r="L117">
        <v>0</v>
      </c>
      <c r="M117">
        <v>0</v>
      </c>
      <c r="N117">
        <v>0</v>
      </c>
      <c r="O117">
        <v>6</v>
      </c>
      <c r="P117">
        <v>2</v>
      </c>
      <c r="Q117" t="s">
        <v>37</v>
      </c>
      <c r="R117" t="s">
        <v>37</v>
      </c>
      <c r="S117" t="s">
        <v>37</v>
      </c>
      <c r="T117" t="s">
        <v>37</v>
      </c>
      <c r="U117" t="s">
        <v>37</v>
      </c>
      <c r="V117" t="s">
        <v>37</v>
      </c>
      <c r="W117" t="s">
        <v>37</v>
      </c>
      <c r="X117" t="s">
        <v>37</v>
      </c>
      <c r="Y117" t="s">
        <v>37</v>
      </c>
      <c r="Z117" t="s">
        <v>37</v>
      </c>
      <c r="AA117" t="s">
        <v>37</v>
      </c>
      <c r="AB117">
        <v>3</v>
      </c>
      <c r="AC117">
        <v>0</v>
      </c>
      <c r="AD117">
        <f t="shared" ca="1" si="1"/>
        <v>9</v>
      </c>
      <c r="AE117" t="e">
        <f>AVERAGE(Table1[[#This Row],[Runs Conceded]]/Table1[[#This Row],[Wickets Taken]])</f>
        <v>#VALUE!</v>
      </c>
    </row>
    <row r="118" spans="1:31" x14ac:dyDescent="0.3">
      <c r="A118" t="s">
        <v>91</v>
      </c>
      <c r="B118" t="s">
        <v>137</v>
      </c>
      <c r="C118" t="s">
        <v>32</v>
      </c>
      <c r="D118">
        <v>6</v>
      </c>
      <c r="E118">
        <v>4</v>
      </c>
      <c r="F118">
        <v>3</v>
      </c>
      <c r="G118">
        <v>3</v>
      </c>
      <c r="H118">
        <v>2</v>
      </c>
      <c r="I118">
        <v>3</v>
      </c>
      <c r="J118">
        <v>7</v>
      </c>
      <c r="K118">
        <v>42.85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6</v>
      </c>
      <c r="R118">
        <v>22</v>
      </c>
      <c r="S118">
        <v>0</v>
      </c>
      <c r="T118">
        <v>229</v>
      </c>
      <c r="U118">
        <v>4</v>
      </c>
      <c r="V118" s="1">
        <v>18295</v>
      </c>
      <c r="W118">
        <v>57.25</v>
      </c>
      <c r="X118">
        <v>10.4</v>
      </c>
      <c r="Y118">
        <v>33</v>
      </c>
      <c r="Z118">
        <v>0</v>
      </c>
      <c r="AA118">
        <v>0</v>
      </c>
      <c r="AB118">
        <v>2</v>
      </c>
      <c r="AC118">
        <v>0</v>
      </c>
      <c r="AD118">
        <f t="shared" ca="1" si="1"/>
        <v>6</v>
      </c>
      <c r="AE118">
        <f>AVERAGE(Table1[[#This Row],[Runs Conceded]]/Table1[[#This Row],[Wickets Taken]])</f>
        <v>57.25</v>
      </c>
    </row>
    <row r="119" spans="1:31" x14ac:dyDescent="0.3">
      <c r="A119" t="s">
        <v>91</v>
      </c>
      <c r="B119" t="s">
        <v>138</v>
      </c>
      <c r="C119" t="s">
        <v>32</v>
      </c>
      <c r="D119">
        <v>10</v>
      </c>
      <c r="E119">
        <v>9</v>
      </c>
      <c r="F119">
        <v>1</v>
      </c>
      <c r="G119">
        <v>134</v>
      </c>
      <c r="H119">
        <v>46</v>
      </c>
      <c r="I119">
        <v>16.75</v>
      </c>
      <c r="J119">
        <v>100</v>
      </c>
      <c r="K119">
        <v>134</v>
      </c>
      <c r="L119">
        <v>0</v>
      </c>
      <c r="M119">
        <v>0</v>
      </c>
      <c r="N119">
        <v>2</v>
      </c>
      <c r="O119">
        <v>6</v>
      </c>
      <c r="P119">
        <v>8</v>
      </c>
      <c r="Q119" t="s">
        <v>37</v>
      </c>
      <c r="R119" t="s">
        <v>37</v>
      </c>
      <c r="S119" t="s">
        <v>37</v>
      </c>
      <c r="T119" t="s">
        <v>37</v>
      </c>
      <c r="U119" t="s">
        <v>37</v>
      </c>
      <c r="V119" t="s">
        <v>37</v>
      </c>
      <c r="W119" t="s">
        <v>37</v>
      </c>
      <c r="X119" t="s">
        <v>37</v>
      </c>
      <c r="Y119" t="s">
        <v>37</v>
      </c>
      <c r="Z119" t="s">
        <v>37</v>
      </c>
      <c r="AA119" t="s">
        <v>37</v>
      </c>
      <c r="AB119">
        <v>4</v>
      </c>
      <c r="AC119">
        <v>0</v>
      </c>
      <c r="AD119">
        <f t="shared" ca="1" si="1"/>
        <v>7</v>
      </c>
      <c r="AE119" t="e">
        <f>AVERAGE(Table1[[#This Row],[Runs Conceded]]/Table1[[#This Row],[Wickets Taken]])</f>
        <v>#VALUE!</v>
      </c>
    </row>
    <row r="120" spans="1:31" x14ac:dyDescent="0.3">
      <c r="A120" t="s">
        <v>91</v>
      </c>
      <c r="B120" t="s">
        <v>139</v>
      </c>
      <c r="C120" t="s">
        <v>32</v>
      </c>
      <c r="D120">
        <v>1</v>
      </c>
      <c r="E120">
        <v>1</v>
      </c>
      <c r="F120">
        <v>0</v>
      </c>
      <c r="G120">
        <v>9</v>
      </c>
      <c r="H120">
        <v>9</v>
      </c>
      <c r="I120">
        <v>9</v>
      </c>
      <c r="J120">
        <v>13</v>
      </c>
      <c r="K120">
        <v>69.23</v>
      </c>
      <c r="L120">
        <v>0</v>
      </c>
      <c r="M120">
        <v>0</v>
      </c>
      <c r="N120">
        <v>0</v>
      </c>
      <c r="O120">
        <v>1</v>
      </c>
      <c r="P120">
        <v>0</v>
      </c>
      <c r="Q120" t="s">
        <v>37</v>
      </c>
      <c r="R120" t="s">
        <v>37</v>
      </c>
      <c r="S120" t="s">
        <v>37</v>
      </c>
      <c r="T120" t="s">
        <v>37</v>
      </c>
      <c r="U120" t="s">
        <v>37</v>
      </c>
      <c r="V120" t="s">
        <v>37</v>
      </c>
      <c r="W120" t="s">
        <v>37</v>
      </c>
      <c r="X120" t="s">
        <v>37</v>
      </c>
      <c r="Y120" t="s">
        <v>37</v>
      </c>
      <c r="Z120" t="s">
        <v>37</v>
      </c>
      <c r="AA120" t="s">
        <v>37</v>
      </c>
      <c r="AB120">
        <v>1</v>
      </c>
      <c r="AC120">
        <v>0</v>
      </c>
      <c r="AD120">
        <f t="shared" ca="1" si="1"/>
        <v>3</v>
      </c>
      <c r="AE120" t="e">
        <f>AVERAGE(Table1[[#This Row],[Runs Conceded]]/Table1[[#This Row],[Wickets Taken]])</f>
        <v>#VALUE!</v>
      </c>
    </row>
    <row r="121" spans="1:31" x14ac:dyDescent="0.3">
      <c r="A121" t="s">
        <v>91</v>
      </c>
      <c r="B121" t="s">
        <v>140</v>
      </c>
      <c r="C121" t="s">
        <v>32</v>
      </c>
      <c r="D121">
        <v>14</v>
      </c>
      <c r="E121">
        <v>9</v>
      </c>
      <c r="F121">
        <v>1</v>
      </c>
      <c r="G121">
        <v>102</v>
      </c>
      <c r="H121">
        <v>45</v>
      </c>
      <c r="I121">
        <v>12.75</v>
      </c>
      <c r="J121">
        <v>71</v>
      </c>
      <c r="K121">
        <v>143.66</v>
      </c>
      <c r="L121">
        <v>0</v>
      </c>
      <c r="M121">
        <v>0</v>
      </c>
      <c r="N121">
        <v>3</v>
      </c>
      <c r="O121">
        <v>7</v>
      </c>
      <c r="P121">
        <v>5</v>
      </c>
      <c r="Q121">
        <v>14</v>
      </c>
      <c r="R121">
        <v>50.4</v>
      </c>
      <c r="S121">
        <v>0</v>
      </c>
      <c r="T121">
        <v>410</v>
      </c>
      <c r="U121">
        <v>10</v>
      </c>
      <c r="V121" s="1">
        <v>43132</v>
      </c>
      <c r="W121">
        <v>41</v>
      </c>
      <c r="X121">
        <v>8.09</v>
      </c>
      <c r="Y121">
        <v>30.4</v>
      </c>
      <c r="Z121">
        <v>0</v>
      </c>
      <c r="AA121">
        <v>0</v>
      </c>
      <c r="AB121">
        <v>5</v>
      </c>
      <c r="AC121">
        <v>0</v>
      </c>
      <c r="AD121">
        <f t="shared" ca="1" si="1"/>
        <v>8</v>
      </c>
      <c r="AE121">
        <f>AVERAGE(Table1[[#This Row],[Runs Conceded]]/Table1[[#This Row],[Wickets Taken]])</f>
        <v>41</v>
      </c>
    </row>
    <row r="122" spans="1:31" x14ac:dyDescent="0.3">
      <c r="A122" t="s">
        <v>91</v>
      </c>
      <c r="B122" t="s">
        <v>140</v>
      </c>
      <c r="C122" t="s">
        <v>92</v>
      </c>
      <c r="D122">
        <v>14</v>
      </c>
      <c r="E122">
        <v>6</v>
      </c>
      <c r="F122">
        <v>1</v>
      </c>
      <c r="G122">
        <v>42</v>
      </c>
      <c r="H122" t="s">
        <v>141</v>
      </c>
      <c r="I122">
        <v>8.4</v>
      </c>
      <c r="J122">
        <v>28</v>
      </c>
      <c r="K122">
        <v>150</v>
      </c>
      <c r="L122">
        <v>0</v>
      </c>
      <c r="M122">
        <v>0</v>
      </c>
      <c r="N122">
        <v>2</v>
      </c>
      <c r="O122">
        <v>3</v>
      </c>
      <c r="P122">
        <v>3</v>
      </c>
      <c r="Q122">
        <v>14</v>
      </c>
      <c r="R122">
        <v>55</v>
      </c>
      <c r="S122">
        <v>0</v>
      </c>
      <c r="T122">
        <v>400</v>
      </c>
      <c r="U122">
        <v>15</v>
      </c>
      <c r="V122" s="1">
        <v>44986</v>
      </c>
      <c r="W122">
        <v>26.66</v>
      </c>
      <c r="X122">
        <v>7.27</v>
      </c>
      <c r="Y122">
        <v>22</v>
      </c>
      <c r="Z122">
        <v>0</v>
      </c>
      <c r="AA122">
        <v>0</v>
      </c>
      <c r="AB122">
        <v>4</v>
      </c>
      <c r="AC122">
        <v>0</v>
      </c>
      <c r="AD122">
        <f t="shared" ca="1" si="1"/>
        <v>15</v>
      </c>
      <c r="AE122">
        <f>AVERAGE(Table1[[#This Row],[Runs Conceded]]/Table1[[#This Row],[Wickets Taken]])</f>
        <v>26.666666666666668</v>
      </c>
    </row>
    <row r="123" spans="1:31" x14ac:dyDescent="0.3">
      <c r="A123" t="s">
        <v>91</v>
      </c>
      <c r="B123" t="s">
        <v>142</v>
      </c>
      <c r="C123" t="s">
        <v>92</v>
      </c>
      <c r="D123">
        <v>10</v>
      </c>
      <c r="E123">
        <v>3</v>
      </c>
      <c r="F123">
        <v>2</v>
      </c>
      <c r="G123">
        <v>3</v>
      </c>
      <c r="H123" t="s">
        <v>55</v>
      </c>
      <c r="I123">
        <v>3</v>
      </c>
      <c r="J123">
        <v>5</v>
      </c>
      <c r="K123">
        <v>60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10</v>
      </c>
      <c r="R123">
        <v>34</v>
      </c>
      <c r="S123">
        <v>0</v>
      </c>
      <c r="T123">
        <v>255</v>
      </c>
      <c r="U123">
        <v>5</v>
      </c>
      <c r="V123" s="1">
        <v>45689</v>
      </c>
      <c r="W123">
        <v>51</v>
      </c>
      <c r="X123">
        <v>7.5</v>
      </c>
      <c r="Y123">
        <v>40.799999999999997</v>
      </c>
      <c r="Z123">
        <v>0</v>
      </c>
      <c r="AA123">
        <v>0</v>
      </c>
      <c r="AB123">
        <v>3</v>
      </c>
      <c r="AC123">
        <v>0</v>
      </c>
      <c r="AD123">
        <f t="shared" ca="1" si="1"/>
        <v>3</v>
      </c>
      <c r="AE123">
        <f>AVERAGE(Table1[[#This Row],[Runs Conceded]]/Table1[[#This Row],[Wickets Taken]])</f>
        <v>51</v>
      </c>
    </row>
    <row r="124" spans="1:31" x14ac:dyDescent="0.3">
      <c r="A124" t="s">
        <v>91</v>
      </c>
      <c r="B124" t="s">
        <v>143</v>
      </c>
      <c r="C124" t="s">
        <v>30</v>
      </c>
      <c r="D124">
        <v>6</v>
      </c>
      <c r="E124">
        <v>3</v>
      </c>
      <c r="F124">
        <v>1</v>
      </c>
      <c r="G124">
        <v>8</v>
      </c>
      <c r="H124" t="s">
        <v>121</v>
      </c>
      <c r="I124">
        <v>4</v>
      </c>
      <c r="J124">
        <v>12</v>
      </c>
      <c r="K124">
        <v>66.66</v>
      </c>
      <c r="L124">
        <v>0</v>
      </c>
      <c r="M124">
        <v>0</v>
      </c>
      <c r="N124">
        <v>0</v>
      </c>
      <c r="O124">
        <v>1</v>
      </c>
      <c r="P124">
        <v>0</v>
      </c>
      <c r="Q124">
        <v>6</v>
      </c>
      <c r="R124">
        <v>18</v>
      </c>
      <c r="S124">
        <v>0</v>
      </c>
      <c r="T124">
        <v>179</v>
      </c>
      <c r="U124">
        <v>0</v>
      </c>
      <c r="V124" t="s">
        <v>37</v>
      </c>
      <c r="W124" t="s">
        <v>37</v>
      </c>
      <c r="X124">
        <v>9.94</v>
      </c>
      <c r="Y124" t="s">
        <v>37</v>
      </c>
      <c r="Z124">
        <v>0</v>
      </c>
      <c r="AA124">
        <v>0</v>
      </c>
      <c r="AB124">
        <v>0</v>
      </c>
      <c r="AC124">
        <v>0</v>
      </c>
      <c r="AD124">
        <f t="shared" ca="1" si="1"/>
        <v>14</v>
      </c>
      <c r="AE124" t="e">
        <f>AVERAGE(Table1[[#This Row],[Runs Conceded]]/Table1[[#This Row],[Wickets Taken]])</f>
        <v>#DIV/0!</v>
      </c>
    </row>
    <row r="125" spans="1:31" x14ac:dyDescent="0.3">
      <c r="A125" t="s">
        <v>91</v>
      </c>
      <c r="B125" t="s">
        <v>78</v>
      </c>
      <c r="C125" t="s">
        <v>30</v>
      </c>
      <c r="D125">
        <v>3</v>
      </c>
      <c r="E125">
        <v>2</v>
      </c>
      <c r="F125">
        <v>1</v>
      </c>
      <c r="G125">
        <v>19</v>
      </c>
      <c r="H125" t="s">
        <v>144</v>
      </c>
      <c r="I125">
        <v>19</v>
      </c>
      <c r="J125">
        <v>11</v>
      </c>
      <c r="K125">
        <v>172.72</v>
      </c>
      <c r="L125">
        <v>0</v>
      </c>
      <c r="M125">
        <v>0</v>
      </c>
      <c r="N125">
        <v>0</v>
      </c>
      <c r="O125">
        <v>4</v>
      </c>
      <c r="P125">
        <v>0</v>
      </c>
      <c r="Q125">
        <v>3</v>
      </c>
      <c r="R125">
        <v>9</v>
      </c>
      <c r="S125">
        <v>0</v>
      </c>
      <c r="T125">
        <v>49</v>
      </c>
      <c r="U125">
        <v>3</v>
      </c>
      <c r="V125" s="1">
        <v>43132</v>
      </c>
      <c r="W125">
        <v>16.329999999999998</v>
      </c>
      <c r="X125">
        <v>5.44</v>
      </c>
      <c r="Y125">
        <v>18</v>
      </c>
      <c r="Z125">
        <v>0</v>
      </c>
      <c r="AA125">
        <v>0</v>
      </c>
      <c r="AB125">
        <v>0</v>
      </c>
      <c r="AC125">
        <v>0</v>
      </c>
      <c r="AD125">
        <f t="shared" ca="1" si="1"/>
        <v>18</v>
      </c>
      <c r="AE125">
        <f>AVERAGE(Table1[[#This Row],[Runs Conceded]]/Table1[[#This Row],[Wickets Taken]])</f>
        <v>16.333333333333332</v>
      </c>
    </row>
    <row r="126" spans="1:31" x14ac:dyDescent="0.3">
      <c r="A126" t="s">
        <v>91</v>
      </c>
      <c r="B126" t="s">
        <v>145</v>
      </c>
      <c r="C126" t="s">
        <v>30</v>
      </c>
      <c r="D126">
        <v>2</v>
      </c>
      <c r="E126" t="s">
        <v>37</v>
      </c>
      <c r="F126" t="s">
        <v>37</v>
      </c>
      <c r="G126" t="s">
        <v>37</v>
      </c>
      <c r="H126" t="s">
        <v>37</v>
      </c>
      <c r="I126" t="s">
        <v>37</v>
      </c>
      <c r="J126" t="s">
        <v>37</v>
      </c>
      <c r="K126" t="s">
        <v>37</v>
      </c>
      <c r="L126" t="s">
        <v>37</v>
      </c>
      <c r="M126" t="s">
        <v>37</v>
      </c>
      <c r="N126" t="s">
        <v>37</v>
      </c>
      <c r="O126" t="s">
        <v>37</v>
      </c>
      <c r="P126" t="s">
        <v>37</v>
      </c>
      <c r="Q126">
        <v>2</v>
      </c>
      <c r="R126">
        <v>5</v>
      </c>
      <c r="S126">
        <v>0</v>
      </c>
      <c r="T126">
        <v>71</v>
      </c>
      <c r="U126">
        <v>1</v>
      </c>
      <c r="V126" s="1">
        <v>11324</v>
      </c>
      <c r="W126">
        <v>71</v>
      </c>
      <c r="X126">
        <v>14.2</v>
      </c>
      <c r="Y126">
        <v>30</v>
      </c>
      <c r="Z126">
        <v>0</v>
      </c>
      <c r="AA126">
        <v>0</v>
      </c>
      <c r="AB126">
        <v>0</v>
      </c>
      <c r="AC126">
        <v>0</v>
      </c>
      <c r="AD126">
        <f t="shared" ca="1" si="1"/>
        <v>8</v>
      </c>
      <c r="AE126">
        <f>AVERAGE(Table1[[#This Row],[Runs Conceded]]/Table1[[#This Row],[Wickets Taken]])</f>
        <v>71</v>
      </c>
    </row>
    <row r="127" spans="1:31" x14ac:dyDescent="0.3">
      <c r="A127" t="s">
        <v>91</v>
      </c>
      <c r="B127" t="s">
        <v>146</v>
      </c>
      <c r="C127" t="s">
        <v>30</v>
      </c>
      <c r="D127">
        <v>6</v>
      </c>
      <c r="E127" t="s">
        <v>37</v>
      </c>
      <c r="F127" t="s">
        <v>37</v>
      </c>
      <c r="G127" t="s">
        <v>37</v>
      </c>
      <c r="H127" t="s">
        <v>37</v>
      </c>
      <c r="I127" t="s">
        <v>37</v>
      </c>
      <c r="J127" t="s">
        <v>37</v>
      </c>
      <c r="K127" t="s">
        <v>37</v>
      </c>
      <c r="L127" t="s">
        <v>37</v>
      </c>
      <c r="M127" t="s">
        <v>37</v>
      </c>
      <c r="N127" t="s">
        <v>37</v>
      </c>
      <c r="O127" t="s">
        <v>37</v>
      </c>
      <c r="P127" t="s">
        <v>37</v>
      </c>
      <c r="Q127">
        <v>6</v>
      </c>
      <c r="R127">
        <v>12.4</v>
      </c>
      <c r="S127">
        <v>0</v>
      </c>
      <c r="T127">
        <v>115</v>
      </c>
      <c r="U127">
        <v>2</v>
      </c>
      <c r="V127" s="1">
        <v>46023</v>
      </c>
      <c r="W127">
        <v>57.5</v>
      </c>
      <c r="X127">
        <v>9.07</v>
      </c>
      <c r="Y127">
        <v>38</v>
      </c>
      <c r="Z127">
        <v>0</v>
      </c>
      <c r="AA127">
        <v>0</v>
      </c>
      <c r="AB127">
        <v>0</v>
      </c>
      <c r="AC127">
        <v>0</v>
      </c>
      <c r="AD127">
        <f t="shared" ca="1" si="1"/>
        <v>4</v>
      </c>
      <c r="AE127">
        <f>AVERAGE(Table1[[#This Row],[Runs Conceded]]/Table1[[#This Row],[Wickets Taken]])</f>
        <v>57.5</v>
      </c>
    </row>
    <row r="128" spans="1:31" x14ac:dyDescent="0.3">
      <c r="A128" t="s">
        <v>91</v>
      </c>
      <c r="B128" t="s">
        <v>147</v>
      </c>
      <c r="C128" t="s">
        <v>32</v>
      </c>
      <c r="D128">
        <v>14</v>
      </c>
      <c r="E128">
        <v>8</v>
      </c>
      <c r="F128">
        <v>2</v>
      </c>
      <c r="G128">
        <v>32</v>
      </c>
      <c r="H128">
        <v>14</v>
      </c>
      <c r="I128">
        <v>5.33</v>
      </c>
      <c r="J128">
        <v>38</v>
      </c>
      <c r="K128">
        <v>84.21</v>
      </c>
      <c r="L128">
        <v>0</v>
      </c>
      <c r="M128">
        <v>0</v>
      </c>
      <c r="N128">
        <v>2</v>
      </c>
      <c r="O128">
        <v>2</v>
      </c>
      <c r="P128">
        <v>1</v>
      </c>
      <c r="Q128">
        <v>14</v>
      </c>
      <c r="R128">
        <v>56</v>
      </c>
      <c r="S128">
        <v>0</v>
      </c>
      <c r="T128">
        <v>448</v>
      </c>
      <c r="U128">
        <v>24</v>
      </c>
      <c r="V128" s="1">
        <v>42461</v>
      </c>
      <c r="W128">
        <v>18.66</v>
      </c>
      <c r="X128">
        <v>8</v>
      </c>
      <c r="Y128">
        <v>14</v>
      </c>
      <c r="Z128">
        <v>3</v>
      </c>
      <c r="AA128">
        <v>0</v>
      </c>
      <c r="AB128">
        <v>5</v>
      </c>
      <c r="AC128">
        <v>0</v>
      </c>
      <c r="AD128">
        <f t="shared" ca="1" si="1"/>
        <v>11</v>
      </c>
      <c r="AE128">
        <f>AVERAGE(Table1[[#This Row],[Runs Conceded]]/Table1[[#This Row],[Wickets Taken]])</f>
        <v>18.666666666666668</v>
      </c>
    </row>
    <row r="129" spans="1:31" x14ac:dyDescent="0.3">
      <c r="A129" t="s">
        <v>91</v>
      </c>
      <c r="B129" t="s">
        <v>147</v>
      </c>
      <c r="C129" t="s">
        <v>92</v>
      </c>
      <c r="D129">
        <v>6</v>
      </c>
      <c r="E129">
        <v>1</v>
      </c>
      <c r="F129">
        <v>1</v>
      </c>
      <c r="G129">
        <v>0</v>
      </c>
      <c r="H129" t="s">
        <v>148</v>
      </c>
      <c r="I129" t="s">
        <v>37</v>
      </c>
      <c r="J129">
        <v>2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6</v>
      </c>
      <c r="R129">
        <v>22</v>
      </c>
      <c r="S129">
        <v>0</v>
      </c>
      <c r="T129">
        <v>233</v>
      </c>
      <c r="U129">
        <v>3</v>
      </c>
      <c r="V129" s="1">
        <v>13516</v>
      </c>
      <c r="W129">
        <v>77.66</v>
      </c>
      <c r="X129">
        <v>10.59</v>
      </c>
      <c r="Y129">
        <v>44</v>
      </c>
      <c r="Z129">
        <v>0</v>
      </c>
      <c r="AA129">
        <v>0</v>
      </c>
      <c r="AB129">
        <v>2</v>
      </c>
      <c r="AC129">
        <v>0</v>
      </c>
      <c r="AD129">
        <f t="shared" ca="1" si="1"/>
        <v>14</v>
      </c>
      <c r="AE129">
        <f>AVERAGE(Table1[[#This Row],[Runs Conceded]]/Table1[[#This Row],[Wickets Taken]])</f>
        <v>77.666666666666671</v>
      </c>
    </row>
    <row r="130" spans="1:31" x14ac:dyDescent="0.3">
      <c r="A130" t="s">
        <v>91</v>
      </c>
      <c r="B130" t="s">
        <v>149</v>
      </c>
      <c r="C130" t="s">
        <v>32</v>
      </c>
      <c r="D130">
        <v>5</v>
      </c>
      <c r="E130">
        <v>4</v>
      </c>
      <c r="F130">
        <v>1</v>
      </c>
      <c r="G130">
        <v>47</v>
      </c>
      <c r="H130">
        <v>35</v>
      </c>
      <c r="I130">
        <v>15.66</v>
      </c>
      <c r="J130">
        <v>44</v>
      </c>
      <c r="K130">
        <v>106.81</v>
      </c>
      <c r="L130">
        <v>0</v>
      </c>
      <c r="M130">
        <v>0</v>
      </c>
      <c r="N130">
        <v>0</v>
      </c>
      <c r="O130">
        <v>4</v>
      </c>
      <c r="P130">
        <v>1</v>
      </c>
      <c r="Q130">
        <v>1</v>
      </c>
      <c r="R130">
        <v>1</v>
      </c>
      <c r="S130">
        <v>0</v>
      </c>
      <c r="T130">
        <v>10</v>
      </c>
      <c r="U130">
        <v>0</v>
      </c>
      <c r="V130" t="s">
        <v>37</v>
      </c>
      <c r="W130" t="s">
        <v>37</v>
      </c>
      <c r="X130">
        <v>10</v>
      </c>
      <c r="Y130" t="s">
        <v>37</v>
      </c>
      <c r="Z130">
        <v>0</v>
      </c>
      <c r="AA130">
        <v>0</v>
      </c>
      <c r="AB130">
        <v>4</v>
      </c>
      <c r="AC130">
        <v>0</v>
      </c>
      <c r="AD130">
        <f t="shared" ref="AD130:AD193" ca="1" si="2">RANDBETWEEN(3,18)</f>
        <v>14</v>
      </c>
      <c r="AE130" t="e">
        <f>AVERAGE(Table1[[#This Row],[Runs Conceded]]/Table1[[#This Row],[Wickets Taken]])</f>
        <v>#DIV/0!</v>
      </c>
    </row>
    <row r="131" spans="1:31" x14ac:dyDescent="0.3">
      <c r="A131" t="s">
        <v>91</v>
      </c>
      <c r="B131" t="s">
        <v>150</v>
      </c>
      <c r="C131" t="s">
        <v>32</v>
      </c>
      <c r="D131">
        <v>11</v>
      </c>
      <c r="E131">
        <v>2</v>
      </c>
      <c r="F131">
        <v>1</v>
      </c>
      <c r="G131">
        <v>10</v>
      </c>
      <c r="H131" t="s">
        <v>151</v>
      </c>
      <c r="I131">
        <v>10</v>
      </c>
      <c r="J131">
        <v>7</v>
      </c>
      <c r="K131">
        <v>142.85</v>
      </c>
      <c r="L131">
        <v>0</v>
      </c>
      <c r="M131">
        <v>0</v>
      </c>
      <c r="N131">
        <v>1</v>
      </c>
      <c r="O131">
        <v>2</v>
      </c>
      <c r="P131">
        <v>0</v>
      </c>
      <c r="Q131">
        <v>11</v>
      </c>
      <c r="R131">
        <v>41.2</v>
      </c>
      <c r="S131">
        <v>0</v>
      </c>
      <c r="T131">
        <v>289</v>
      </c>
      <c r="U131">
        <v>14</v>
      </c>
      <c r="V131" s="1">
        <v>46447</v>
      </c>
      <c r="W131">
        <v>20.64</v>
      </c>
      <c r="X131">
        <v>6.99</v>
      </c>
      <c r="Y131">
        <v>17.7</v>
      </c>
      <c r="Z131">
        <v>0</v>
      </c>
      <c r="AA131">
        <v>0</v>
      </c>
      <c r="AB131">
        <v>1</v>
      </c>
      <c r="AC131">
        <v>0</v>
      </c>
      <c r="AD131">
        <f t="shared" ca="1" si="2"/>
        <v>3</v>
      </c>
      <c r="AE131">
        <f>AVERAGE(Table1[[#This Row],[Runs Conceded]]/Table1[[#This Row],[Wickets Taken]])</f>
        <v>20.642857142857142</v>
      </c>
    </row>
    <row r="132" spans="1:31" x14ac:dyDescent="0.3">
      <c r="A132" t="s">
        <v>91</v>
      </c>
      <c r="B132" t="s">
        <v>150</v>
      </c>
      <c r="C132" t="s">
        <v>92</v>
      </c>
      <c r="D132">
        <v>5</v>
      </c>
      <c r="E132">
        <v>3</v>
      </c>
      <c r="F132">
        <v>2</v>
      </c>
      <c r="G132">
        <v>0</v>
      </c>
      <c r="H132" t="s">
        <v>148</v>
      </c>
      <c r="I132">
        <v>0</v>
      </c>
      <c r="J132">
        <v>4</v>
      </c>
      <c r="K132">
        <v>0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5</v>
      </c>
      <c r="R132">
        <v>19</v>
      </c>
      <c r="S132">
        <v>0</v>
      </c>
      <c r="T132">
        <v>191</v>
      </c>
      <c r="U132">
        <v>3</v>
      </c>
      <c r="V132" s="1">
        <v>11355</v>
      </c>
      <c r="W132">
        <v>63.66</v>
      </c>
      <c r="X132">
        <v>10.050000000000001</v>
      </c>
      <c r="Y132">
        <v>38</v>
      </c>
      <c r="Z132">
        <v>0</v>
      </c>
      <c r="AA132">
        <v>0</v>
      </c>
      <c r="AB132">
        <v>1</v>
      </c>
      <c r="AC132">
        <v>0</v>
      </c>
      <c r="AD132">
        <f t="shared" ca="1" si="2"/>
        <v>18</v>
      </c>
      <c r="AE132">
        <f>AVERAGE(Table1[[#This Row],[Runs Conceded]]/Table1[[#This Row],[Wickets Taken]])</f>
        <v>63.666666666666664</v>
      </c>
    </row>
    <row r="133" spans="1:31" x14ac:dyDescent="0.3">
      <c r="A133" t="s">
        <v>91</v>
      </c>
      <c r="B133" t="s">
        <v>152</v>
      </c>
      <c r="C133" t="s">
        <v>92</v>
      </c>
      <c r="D133">
        <v>7</v>
      </c>
      <c r="E133">
        <v>6</v>
      </c>
      <c r="F133">
        <v>0</v>
      </c>
      <c r="G133">
        <v>168</v>
      </c>
      <c r="H133">
        <v>48</v>
      </c>
      <c r="I133">
        <v>28</v>
      </c>
      <c r="J133">
        <v>107</v>
      </c>
      <c r="K133">
        <v>157</v>
      </c>
      <c r="L133">
        <v>0</v>
      </c>
      <c r="M133">
        <v>0</v>
      </c>
      <c r="N133">
        <v>0</v>
      </c>
      <c r="O133">
        <v>9</v>
      </c>
      <c r="P133">
        <v>14</v>
      </c>
      <c r="Q133" t="s">
        <v>37</v>
      </c>
      <c r="R133" t="s">
        <v>37</v>
      </c>
      <c r="S133" t="s">
        <v>37</v>
      </c>
      <c r="T133" t="s">
        <v>37</v>
      </c>
      <c r="U133" t="s">
        <v>37</v>
      </c>
      <c r="V133" t="s">
        <v>37</v>
      </c>
      <c r="W133" t="s">
        <v>37</v>
      </c>
      <c r="X133" t="s">
        <v>37</v>
      </c>
      <c r="Y133" t="s">
        <v>37</v>
      </c>
      <c r="Z133" t="s">
        <v>37</v>
      </c>
      <c r="AA133" t="s">
        <v>37</v>
      </c>
      <c r="AB133">
        <v>1</v>
      </c>
      <c r="AC133">
        <v>0</v>
      </c>
      <c r="AD133">
        <f t="shared" ca="1" si="2"/>
        <v>15</v>
      </c>
      <c r="AE133" t="e">
        <f>AVERAGE(Table1[[#This Row],[Runs Conceded]]/Table1[[#This Row],[Wickets Taken]])</f>
        <v>#VALUE!</v>
      </c>
    </row>
    <row r="134" spans="1:31" x14ac:dyDescent="0.3">
      <c r="A134" t="s">
        <v>91</v>
      </c>
      <c r="B134" t="s">
        <v>153</v>
      </c>
      <c r="C134" t="s">
        <v>92</v>
      </c>
      <c r="D134">
        <v>9</v>
      </c>
      <c r="E134">
        <v>8</v>
      </c>
      <c r="F134">
        <v>4</v>
      </c>
      <c r="G134">
        <v>95</v>
      </c>
      <c r="H134" t="s">
        <v>154</v>
      </c>
      <c r="I134">
        <v>23.75</v>
      </c>
      <c r="J134">
        <v>55</v>
      </c>
      <c r="K134">
        <v>172.72</v>
      </c>
      <c r="L134">
        <v>0</v>
      </c>
      <c r="M134">
        <v>1</v>
      </c>
      <c r="N134">
        <v>1</v>
      </c>
      <c r="O134">
        <v>13</v>
      </c>
      <c r="P134">
        <v>3</v>
      </c>
      <c r="Q134">
        <v>9</v>
      </c>
      <c r="R134">
        <v>33</v>
      </c>
      <c r="S134">
        <v>0</v>
      </c>
      <c r="T134">
        <v>323</v>
      </c>
      <c r="U134">
        <v>10</v>
      </c>
      <c r="V134" s="2">
        <v>44139</v>
      </c>
      <c r="W134">
        <v>32.299999999999997</v>
      </c>
      <c r="X134">
        <v>9.7799999999999994</v>
      </c>
      <c r="Y134">
        <v>19.8</v>
      </c>
      <c r="Z134">
        <v>1</v>
      </c>
      <c r="AA134">
        <v>0</v>
      </c>
      <c r="AB134">
        <v>2</v>
      </c>
      <c r="AC134">
        <v>0</v>
      </c>
      <c r="AD134">
        <f t="shared" ca="1" si="2"/>
        <v>4</v>
      </c>
      <c r="AE134">
        <f>AVERAGE(Table1[[#This Row],[Runs Conceded]]/Table1[[#This Row],[Wickets Taken]])</f>
        <v>32.299999999999997</v>
      </c>
    </row>
    <row r="135" spans="1:31" x14ac:dyDescent="0.3">
      <c r="A135" t="s">
        <v>91</v>
      </c>
      <c r="B135" t="s">
        <v>155</v>
      </c>
      <c r="C135" t="s">
        <v>92</v>
      </c>
      <c r="D135">
        <v>1</v>
      </c>
      <c r="E135">
        <v>1</v>
      </c>
      <c r="F135">
        <v>0</v>
      </c>
      <c r="G135">
        <v>16</v>
      </c>
      <c r="H135">
        <v>16</v>
      </c>
      <c r="I135">
        <v>16</v>
      </c>
      <c r="J135">
        <v>17</v>
      </c>
      <c r="K135">
        <v>94.11</v>
      </c>
      <c r="L135">
        <v>0</v>
      </c>
      <c r="M135">
        <v>0</v>
      </c>
      <c r="N135">
        <v>0</v>
      </c>
      <c r="O135">
        <v>1</v>
      </c>
      <c r="P135">
        <v>1</v>
      </c>
      <c r="Q135" t="s">
        <v>37</v>
      </c>
      <c r="R135" t="s">
        <v>37</v>
      </c>
      <c r="S135" t="s">
        <v>37</v>
      </c>
      <c r="T135" t="s">
        <v>37</v>
      </c>
      <c r="U135" t="s">
        <v>37</v>
      </c>
      <c r="V135" t="s">
        <v>37</v>
      </c>
      <c r="W135" t="s">
        <v>37</v>
      </c>
      <c r="X135" t="s">
        <v>37</v>
      </c>
      <c r="Y135" t="s">
        <v>37</v>
      </c>
      <c r="Z135" t="s">
        <v>37</v>
      </c>
      <c r="AA135" t="s">
        <v>37</v>
      </c>
      <c r="AB135">
        <v>1</v>
      </c>
      <c r="AC135">
        <v>0</v>
      </c>
      <c r="AD135">
        <f t="shared" ca="1" si="2"/>
        <v>6</v>
      </c>
      <c r="AE135" t="e">
        <f>AVERAGE(Table1[[#This Row],[Runs Conceded]]/Table1[[#This Row],[Wickets Taken]])</f>
        <v>#VALUE!</v>
      </c>
    </row>
    <row r="136" spans="1:31" x14ac:dyDescent="0.3">
      <c r="A136" t="s">
        <v>91</v>
      </c>
      <c r="B136" t="s">
        <v>156</v>
      </c>
      <c r="C136" t="s">
        <v>92</v>
      </c>
      <c r="D136">
        <v>6</v>
      </c>
      <c r="E136">
        <v>3</v>
      </c>
      <c r="F136">
        <v>1</v>
      </c>
      <c r="G136">
        <v>3</v>
      </c>
      <c r="H136" t="s">
        <v>59</v>
      </c>
      <c r="I136">
        <v>1.5</v>
      </c>
      <c r="J136">
        <v>7</v>
      </c>
      <c r="K136">
        <v>42.85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6</v>
      </c>
      <c r="R136">
        <v>23</v>
      </c>
      <c r="S136">
        <v>0</v>
      </c>
      <c r="T136">
        <v>222</v>
      </c>
      <c r="U136">
        <v>7</v>
      </c>
      <c r="V136" s="1">
        <v>14277</v>
      </c>
      <c r="W136">
        <v>31.71</v>
      </c>
      <c r="X136">
        <v>9.65</v>
      </c>
      <c r="Y136">
        <v>19.7</v>
      </c>
      <c r="Z136">
        <v>0</v>
      </c>
      <c r="AA136">
        <v>0</v>
      </c>
      <c r="AB136">
        <v>0</v>
      </c>
      <c r="AC136">
        <v>0</v>
      </c>
      <c r="AD136">
        <f t="shared" ca="1" si="2"/>
        <v>10</v>
      </c>
      <c r="AE136">
        <f>AVERAGE(Table1[[#This Row],[Runs Conceded]]/Table1[[#This Row],[Wickets Taken]])</f>
        <v>31.714285714285715</v>
      </c>
    </row>
    <row r="137" spans="1:31" x14ac:dyDescent="0.3">
      <c r="A137" t="s">
        <v>91</v>
      </c>
      <c r="B137" t="s">
        <v>157</v>
      </c>
      <c r="C137" t="s">
        <v>92</v>
      </c>
      <c r="D137">
        <v>2</v>
      </c>
      <c r="E137">
        <v>1</v>
      </c>
      <c r="F137">
        <v>1</v>
      </c>
      <c r="G137">
        <v>20</v>
      </c>
      <c r="H137" t="s">
        <v>158</v>
      </c>
      <c r="I137" t="s">
        <v>37</v>
      </c>
      <c r="J137">
        <v>12</v>
      </c>
      <c r="K137">
        <v>166.66</v>
      </c>
      <c r="L137">
        <v>0</v>
      </c>
      <c r="M137">
        <v>0</v>
      </c>
      <c r="N137">
        <v>0</v>
      </c>
      <c r="O137">
        <v>2</v>
      </c>
      <c r="P137">
        <v>1</v>
      </c>
      <c r="Q137">
        <v>2</v>
      </c>
      <c r="R137">
        <v>5</v>
      </c>
      <c r="S137">
        <v>0</v>
      </c>
      <c r="T137">
        <v>48</v>
      </c>
      <c r="U137">
        <v>0</v>
      </c>
      <c r="V137" t="s">
        <v>37</v>
      </c>
      <c r="W137" t="s">
        <v>37</v>
      </c>
      <c r="X137">
        <v>9.6</v>
      </c>
      <c r="Y137" t="s">
        <v>37</v>
      </c>
      <c r="Z137">
        <v>0</v>
      </c>
      <c r="AA137">
        <v>0</v>
      </c>
      <c r="AB137">
        <v>0</v>
      </c>
      <c r="AC137">
        <v>0</v>
      </c>
      <c r="AD137">
        <f t="shared" ca="1" si="2"/>
        <v>18</v>
      </c>
      <c r="AE137" t="e">
        <f>AVERAGE(Table1[[#This Row],[Runs Conceded]]/Table1[[#This Row],[Wickets Taken]])</f>
        <v>#DIV/0!</v>
      </c>
    </row>
    <row r="138" spans="1:31" x14ac:dyDescent="0.3">
      <c r="A138" t="s">
        <v>91</v>
      </c>
      <c r="B138" t="s">
        <v>159</v>
      </c>
      <c r="C138" t="s">
        <v>92</v>
      </c>
      <c r="D138">
        <v>3</v>
      </c>
      <c r="E138" t="s">
        <v>37</v>
      </c>
      <c r="F138" t="s">
        <v>37</v>
      </c>
      <c r="G138" t="s">
        <v>37</v>
      </c>
      <c r="H138" t="s">
        <v>37</v>
      </c>
      <c r="I138" t="s">
        <v>37</v>
      </c>
      <c r="J138" t="s">
        <v>37</v>
      </c>
      <c r="K138" t="s">
        <v>37</v>
      </c>
      <c r="L138" t="s">
        <v>37</v>
      </c>
      <c r="M138" t="s">
        <v>37</v>
      </c>
      <c r="N138" t="s">
        <v>37</v>
      </c>
      <c r="O138" t="s">
        <v>37</v>
      </c>
      <c r="P138" t="s">
        <v>37</v>
      </c>
      <c r="Q138">
        <v>3</v>
      </c>
      <c r="R138">
        <v>10</v>
      </c>
      <c r="S138">
        <v>0</v>
      </c>
      <c r="T138">
        <v>109</v>
      </c>
      <c r="U138">
        <v>3</v>
      </c>
      <c r="V138" s="1">
        <v>15738</v>
      </c>
      <c r="W138">
        <v>36.33</v>
      </c>
      <c r="X138">
        <v>10.9</v>
      </c>
      <c r="Y138">
        <v>20</v>
      </c>
      <c r="Z138">
        <v>0</v>
      </c>
      <c r="AA138">
        <v>0</v>
      </c>
      <c r="AB138">
        <v>0</v>
      </c>
      <c r="AC138">
        <v>0</v>
      </c>
      <c r="AD138">
        <f t="shared" ca="1" si="2"/>
        <v>13</v>
      </c>
      <c r="AE138">
        <f>AVERAGE(Table1[[#This Row],[Runs Conceded]]/Table1[[#This Row],[Wickets Taken]])</f>
        <v>36.333333333333336</v>
      </c>
    </row>
    <row r="139" spans="1:31" x14ac:dyDescent="0.3">
      <c r="A139" t="s">
        <v>91</v>
      </c>
      <c r="B139" t="s">
        <v>160</v>
      </c>
      <c r="C139" t="s">
        <v>92</v>
      </c>
      <c r="D139">
        <v>1</v>
      </c>
      <c r="E139" t="s">
        <v>37</v>
      </c>
      <c r="F139" t="s">
        <v>37</v>
      </c>
      <c r="G139" t="s">
        <v>37</v>
      </c>
      <c r="H139" t="s">
        <v>37</v>
      </c>
      <c r="I139" t="s">
        <v>37</v>
      </c>
      <c r="J139" t="s">
        <v>37</v>
      </c>
      <c r="K139" t="s">
        <v>37</v>
      </c>
      <c r="L139" t="s">
        <v>37</v>
      </c>
      <c r="M139" t="s">
        <v>37</v>
      </c>
      <c r="N139" t="s">
        <v>37</v>
      </c>
      <c r="O139" t="s">
        <v>37</v>
      </c>
      <c r="P139" t="s">
        <v>37</v>
      </c>
      <c r="Q139">
        <v>1</v>
      </c>
      <c r="R139">
        <v>3</v>
      </c>
      <c r="S139">
        <v>0</v>
      </c>
      <c r="T139">
        <v>35</v>
      </c>
      <c r="U139">
        <v>1</v>
      </c>
      <c r="V139" s="1">
        <v>12785</v>
      </c>
      <c r="W139">
        <v>35</v>
      </c>
      <c r="X139">
        <v>11.66</v>
      </c>
      <c r="Y139">
        <v>18</v>
      </c>
      <c r="Z139">
        <v>0</v>
      </c>
      <c r="AA139">
        <v>0</v>
      </c>
      <c r="AB139">
        <v>0</v>
      </c>
      <c r="AC139">
        <v>0</v>
      </c>
      <c r="AD139">
        <f t="shared" ca="1" si="2"/>
        <v>10</v>
      </c>
      <c r="AE139">
        <f>AVERAGE(Table1[[#This Row],[Runs Conceded]]/Table1[[#This Row],[Wickets Taken]])</f>
        <v>35</v>
      </c>
    </row>
    <row r="140" spans="1:31" x14ac:dyDescent="0.3">
      <c r="A140" t="s">
        <v>161</v>
      </c>
      <c r="B140" t="s">
        <v>46</v>
      </c>
      <c r="C140" t="s">
        <v>92</v>
      </c>
      <c r="D140">
        <v>2</v>
      </c>
      <c r="E140">
        <v>2</v>
      </c>
      <c r="F140">
        <v>0</v>
      </c>
      <c r="G140">
        <v>11</v>
      </c>
      <c r="H140">
        <v>6</v>
      </c>
      <c r="I140">
        <v>5.5</v>
      </c>
      <c r="J140">
        <v>10</v>
      </c>
      <c r="K140">
        <v>110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2</v>
      </c>
      <c r="R140">
        <v>3</v>
      </c>
      <c r="S140">
        <v>0</v>
      </c>
      <c r="T140">
        <v>29</v>
      </c>
      <c r="U140">
        <v>0</v>
      </c>
      <c r="V140" t="s">
        <v>37</v>
      </c>
      <c r="W140" t="s">
        <v>37</v>
      </c>
      <c r="X140">
        <v>9.66</v>
      </c>
      <c r="Y140" t="s">
        <v>37</v>
      </c>
      <c r="Z140">
        <v>0</v>
      </c>
      <c r="AA140">
        <v>0</v>
      </c>
      <c r="AB140">
        <v>0</v>
      </c>
      <c r="AC140">
        <v>0</v>
      </c>
      <c r="AD140">
        <f t="shared" ca="1" si="2"/>
        <v>13</v>
      </c>
      <c r="AE140" t="e">
        <f>AVERAGE(Table1[[#This Row],[Runs Conceded]]/Table1[[#This Row],[Wickets Taken]])</f>
        <v>#DIV/0!</v>
      </c>
    </row>
    <row r="141" spans="1:31" x14ac:dyDescent="0.3">
      <c r="A141" t="s">
        <v>161</v>
      </c>
      <c r="B141" t="s">
        <v>56</v>
      </c>
      <c r="C141" t="s">
        <v>30</v>
      </c>
      <c r="D141">
        <v>8</v>
      </c>
      <c r="E141">
        <v>3</v>
      </c>
      <c r="F141">
        <v>0</v>
      </c>
      <c r="G141">
        <v>14</v>
      </c>
      <c r="H141">
        <v>6</v>
      </c>
      <c r="I141">
        <v>4.66</v>
      </c>
      <c r="J141">
        <v>12</v>
      </c>
      <c r="K141">
        <v>116.66</v>
      </c>
      <c r="L141">
        <v>0</v>
      </c>
      <c r="M141">
        <v>0</v>
      </c>
      <c r="N141">
        <v>0</v>
      </c>
      <c r="O141">
        <v>0</v>
      </c>
      <c r="P141">
        <v>2</v>
      </c>
      <c r="Q141">
        <v>8</v>
      </c>
      <c r="R141">
        <v>28.2</v>
      </c>
      <c r="S141">
        <v>0</v>
      </c>
      <c r="T141">
        <v>228</v>
      </c>
      <c r="U141">
        <v>15</v>
      </c>
      <c r="V141" s="1">
        <v>43891</v>
      </c>
      <c r="W141">
        <v>15.2</v>
      </c>
      <c r="X141">
        <v>8.0399999999999991</v>
      </c>
      <c r="Y141">
        <v>11.3</v>
      </c>
      <c r="Z141">
        <v>0</v>
      </c>
      <c r="AA141">
        <v>0</v>
      </c>
      <c r="AB141">
        <v>2</v>
      </c>
      <c r="AC141">
        <v>0</v>
      </c>
      <c r="AD141">
        <f t="shared" ca="1" si="2"/>
        <v>13</v>
      </c>
      <c r="AE141">
        <f>AVERAGE(Table1[[#This Row],[Runs Conceded]]/Table1[[#This Row],[Wickets Taken]])</f>
        <v>15.2</v>
      </c>
    </row>
    <row r="142" spans="1:31" x14ac:dyDescent="0.3">
      <c r="A142" t="s">
        <v>161</v>
      </c>
      <c r="B142" t="s">
        <v>110</v>
      </c>
      <c r="C142" t="s">
        <v>92</v>
      </c>
      <c r="D142">
        <v>1</v>
      </c>
      <c r="E142">
        <v>1</v>
      </c>
      <c r="F142">
        <v>1</v>
      </c>
      <c r="G142">
        <v>9</v>
      </c>
      <c r="H142" t="s">
        <v>115</v>
      </c>
      <c r="I142" t="s">
        <v>37</v>
      </c>
      <c r="J142">
        <v>3</v>
      </c>
      <c r="K142">
        <v>300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1</v>
      </c>
      <c r="R142">
        <v>2</v>
      </c>
      <c r="S142">
        <v>0</v>
      </c>
      <c r="T142">
        <v>34</v>
      </c>
      <c r="U142">
        <v>0</v>
      </c>
      <c r="V142" t="s">
        <v>37</v>
      </c>
      <c r="W142" t="s">
        <v>37</v>
      </c>
      <c r="X142">
        <v>17</v>
      </c>
      <c r="Y142" t="s">
        <v>37</v>
      </c>
      <c r="Z142">
        <v>0</v>
      </c>
      <c r="AA142">
        <v>0</v>
      </c>
      <c r="AB142">
        <v>0</v>
      </c>
      <c r="AC142">
        <v>0</v>
      </c>
      <c r="AD142">
        <f t="shared" ca="1" si="2"/>
        <v>15</v>
      </c>
      <c r="AE142" t="e">
        <f>AVERAGE(Table1[[#This Row],[Runs Conceded]]/Table1[[#This Row],[Wickets Taken]])</f>
        <v>#DIV/0!</v>
      </c>
    </row>
    <row r="143" spans="1:31" x14ac:dyDescent="0.3">
      <c r="A143" t="s">
        <v>161</v>
      </c>
      <c r="B143" t="s">
        <v>111</v>
      </c>
      <c r="C143" t="s">
        <v>92</v>
      </c>
      <c r="D143">
        <v>1</v>
      </c>
      <c r="E143">
        <v>1</v>
      </c>
      <c r="F143">
        <v>0</v>
      </c>
      <c r="G143">
        <v>7</v>
      </c>
      <c r="H143">
        <v>7</v>
      </c>
      <c r="I143">
        <v>7</v>
      </c>
      <c r="J143">
        <v>16</v>
      </c>
      <c r="K143">
        <v>43.75</v>
      </c>
      <c r="L143">
        <v>0</v>
      </c>
      <c r="M143">
        <v>0</v>
      </c>
      <c r="N143">
        <v>0</v>
      </c>
      <c r="O143">
        <v>1</v>
      </c>
      <c r="P143">
        <v>0</v>
      </c>
      <c r="Q143" t="s">
        <v>37</v>
      </c>
      <c r="R143" t="s">
        <v>37</v>
      </c>
      <c r="S143" t="s">
        <v>37</v>
      </c>
      <c r="T143" t="s">
        <v>37</v>
      </c>
      <c r="U143" t="s">
        <v>37</v>
      </c>
      <c r="V143" t="s">
        <v>37</v>
      </c>
      <c r="W143" t="s">
        <v>37</v>
      </c>
      <c r="X143" t="s">
        <v>37</v>
      </c>
      <c r="Y143" t="s">
        <v>37</v>
      </c>
      <c r="Z143" t="s">
        <v>37</v>
      </c>
      <c r="AA143" t="s">
        <v>37</v>
      </c>
      <c r="AB143">
        <v>0</v>
      </c>
      <c r="AC143">
        <v>0</v>
      </c>
      <c r="AD143">
        <f t="shared" ca="1" si="2"/>
        <v>15</v>
      </c>
      <c r="AE143" t="e">
        <f>AVERAGE(Table1[[#This Row],[Runs Conceded]]/Table1[[#This Row],[Wickets Taken]])</f>
        <v>#VALUE!</v>
      </c>
    </row>
    <row r="144" spans="1:31" x14ac:dyDescent="0.3">
      <c r="A144" t="s">
        <v>161</v>
      </c>
      <c r="B144" t="s">
        <v>116</v>
      </c>
      <c r="C144" t="s">
        <v>32</v>
      </c>
      <c r="D144">
        <v>6</v>
      </c>
      <c r="E144">
        <v>2</v>
      </c>
      <c r="F144">
        <v>2</v>
      </c>
      <c r="G144">
        <v>16</v>
      </c>
      <c r="H144" t="s">
        <v>77</v>
      </c>
      <c r="I144" t="s">
        <v>37</v>
      </c>
      <c r="J144">
        <v>11</v>
      </c>
      <c r="K144">
        <v>145.44999999999999</v>
      </c>
      <c r="L144">
        <v>0</v>
      </c>
      <c r="M144">
        <v>0</v>
      </c>
      <c r="N144">
        <v>0</v>
      </c>
      <c r="O144">
        <v>2</v>
      </c>
      <c r="P144">
        <v>0</v>
      </c>
      <c r="Q144">
        <v>6</v>
      </c>
      <c r="R144">
        <v>21</v>
      </c>
      <c r="S144">
        <v>0</v>
      </c>
      <c r="T144">
        <v>216</v>
      </c>
      <c r="U144">
        <v>2</v>
      </c>
      <c r="V144" s="1">
        <v>10959</v>
      </c>
      <c r="W144">
        <v>108</v>
      </c>
      <c r="X144">
        <v>10.28</v>
      </c>
      <c r="Y144">
        <v>63</v>
      </c>
      <c r="Z144">
        <v>0</v>
      </c>
      <c r="AA144">
        <v>0</v>
      </c>
      <c r="AB144">
        <v>2</v>
      </c>
      <c r="AC144">
        <v>0</v>
      </c>
      <c r="AD144">
        <f t="shared" ca="1" si="2"/>
        <v>7</v>
      </c>
      <c r="AE144">
        <f>AVERAGE(Table1[[#This Row],[Runs Conceded]]/Table1[[#This Row],[Wickets Taken]])</f>
        <v>108</v>
      </c>
    </row>
    <row r="145" spans="1:31" x14ac:dyDescent="0.3">
      <c r="A145" t="s">
        <v>161</v>
      </c>
      <c r="B145" t="s">
        <v>162</v>
      </c>
      <c r="C145" t="s">
        <v>28</v>
      </c>
      <c r="D145">
        <v>15</v>
      </c>
      <c r="E145">
        <v>13</v>
      </c>
      <c r="F145">
        <v>8</v>
      </c>
      <c r="G145">
        <v>361</v>
      </c>
      <c r="H145" t="s">
        <v>163</v>
      </c>
      <c r="I145">
        <v>72.2</v>
      </c>
      <c r="J145">
        <v>248</v>
      </c>
      <c r="K145">
        <v>145.56</v>
      </c>
      <c r="L145">
        <v>0</v>
      </c>
      <c r="M145">
        <v>3</v>
      </c>
      <c r="N145">
        <v>0</v>
      </c>
      <c r="O145">
        <v>33</v>
      </c>
      <c r="P145">
        <v>13</v>
      </c>
      <c r="Q145">
        <v>4</v>
      </c>
      <c r="R145">
        <v>6</v>
      </c>
      <c r="S145">
        <v>0</v>
      </c>
      <c r="T145">
        <v>33</v>
      </c>
      <c r="U145">
        <v>1</v>
      </c>
      <c r="V145" s="2">
        <v>43983</v>
      </c>
      <c r="W145">
        <v>33</v>
      </c>
      <c r="X145">
        <v>5.5</v>
      </c>
      <c r="Y145">
        <v>36</v>
      </c>
      <c r="Z145">
        <v>0</v>
      </c>
      <c r="AA145">
        <v>0</v>
      </c>
      <c r="AB145">
        <v>3</v>
      </c>
      <c r="AC145">
        <v>0</v>
      </c>
      <c r="AD145">
        <f t="shared" ca="1" si="2"/>
        <v>8</v>
      </c>
      <c r="AE145">
        <f>AVERAGE(Table1[[#This Row],[Runs Conceded]]/Table1[[#This Row],[Wickets Taken]])</f>
        <v>33</v>
      </c>
    </row>
    <row r="146" spans="1:31" x14ac:dyDescent="0.3">
      <c r="A146" t="s">
        <v>161</v>
      </c>
      <c r="B146" t="s">
        <v>162</v>
      </c>
      <c r="C146" t="s">
        <v>30</v>
      </c>
      <c r="D146">
        <v>15</v>
      </c>
      <c r="E146">
        <v>11</v>
      </c>
      <c r="F146">
        <v>3</v>
      </c>
      <c r="G146">
        <v>143</v>
      </c>
      <c r="H146">
        <v>59</v>
      </c>
      <c r="I146">
        <v>17.87</v>
      </c>
      <c r="J146">
        <v>115</v>
      </c>
      <c r="K146">
        <v>124.34</v>
      </c>
      <c r="L146">
        <v>0</v>
      </c>
      <c r="M146">
        <v>1</v>
      </c>
      <c r="N146">
        <v>1</v>
      </c>
      <c r="O146">
        <v>9</v>
      </c>
      <c r="P146">
        <v>6</v>
      </c>
      <c r="Q146">
        <v>4</v>
      </c>
      <c r="R146">
        <v>4</v>
      </c>
      <c r="S146">
        <v>0</v>
      </c>
      <c r="T146">
        <v>41</v>
      </c>
      <c r="U146">
        <v>1</v>
      </c>
      <c r="V146" s="2">
        <v>43862</v>
      </c>
      <c r="W146">
        <v>41</v>
      </c>
      <c r="X146">
        <v>10.25</v>
      </c>
      <c r="Y146">
        <v>24</v>
      </c>
      <c r="Z146">
        <v>0</v>
      </c>
      <c r="AA146">
        <v>0</v>
      </c>
      <c r="AB146">
        <v>2</v>
      </c>
      <c r="AC146">
        <v>0</v>
      </c>
      <c r="AD146">
        <f t="shared" ca="1" si="2"/>
        <v>3</v>
      </c>
      <c r="AE146">
        <f>AVERAGE(Table1[[#This Row],[Runs Conceded]]/Table1[[#This Row],[Wickets Taken]])</f>
        <v>41</v>
      </c>
    </row>
    <row r="147" spans="1:31" x14ac:dyDescent="0.3">
      <c r="A147" t="s">
        <v>161</v>
      </c>
      <c r="B147" t="s">
        <v>63</v>
      </c>
      <c r="C147" t="s">
        <v>28</v>
      </c>
      <c r="D147">
        <v>15</v>
      </c>
      <c r="E147">
        <v>15</v>
      </c>
      <c r="F147">
        <v>2</v>
      </c>
      <c r="G147">
        <v>501</v>
      </c>
      <c r="H147" t="s">
        <v>164</v>
      </c>
      <c r="I147">
        <v>38.53</v>
      </c>
      <c r="J147">
        <v>411</v>
      </c>
      <c r="K147">
        <v>121.89</v>
      </c>
      <c r="L147">
        <v>0</v>
      </c>
      <c r="M147">
        <v>5</v>
      </c>
      <c r="N147">
        <v>1</v>
      </c>
      <c r="O147">
        <v>54</v>
      </c>
      <c r="P147">
        <v>6</v>
      </c>
      <c r="Q147" t="s">
        <v>37</v>
      </c>
      <c r="R147" t="s">
        <v>37</v>
      </c>
      <c r="S147" t="s">
        <v>37</v>
      </c>
      <c r="T147" t="s">
        <v>37</v>
      </c>
      <c r="U147" t="s">
        <v>37</v>
      </c>
      <c r="V147" t="s">
        <v>37</v>
      </c>
      <c r="W147" t="s">
        <v>37</v>
      </c>
      <c r="X147" t="s">
        <v>37</v>
      </c>
      <c r="Y147" t="s">
        <v>37</v>
      </c>
      <c r="Z147" t="s">
        <v>37</v>
      </c>
      <c r="AA147" t="s">
        <v>37</v>
      </c>
      <c r="AB147">
        <v>1</v>
      </c>
      <c r="AC147">
        <v>0</v>
      </c>
      <c r="AD147">
        <f t="shared" ca="1" si="2"/>
        <v>12</v>
      </c>
      <c r="AE147" t="e">
        <f>AVERAGE(Table1[[#This Row],[Runs Conceded]]/Table1[[#This Row],[Wickets Taken]])</f>
        <v>#VALUE!</v>
      </c>
    </row>
    <row r="148" spans="1:31" x14ac:dyDescent="0.3">
      <c r="A148" t="s">
        <v>161</v>
      </c>
      <c r="B148" t="s">
        <v>63</v>
      </c>
      <c r="C148" t="s">
        <v>30</v>
      </c>
      <c r="D148">
        <v>16</v>
      </c>
      <c r="E148">
        <v>16</v>
      </c>
      <c r="F148">
        <v>4</v>
      </c>
      <c r="G148">
        <v>498</v>
      </c>
      <c r="H148" t="s">
        <v>165</v>
      </c>
      <c r="I148">
        <v>41.5</v>
      </c>
      <c r="J148">
        <v>389</v>
      </c>
      <c r="K148">
        <v>128.02000000000001</v>
      </c>
      <c r="L148">
        <v>0</v>
      </c>
      <c r="M148">
        <v>4</v>
      </c>
      <c r="N148">
        <v>0</v>
      </c>
      <c r="O148">
        <v>62</v>
      </c>
      <c r="P148">
        <v>7</v>
      </c>
      <c r="Q148" t="s">
        <v>37</v>
      </c>
      <c r="R148" t="s">
        <v>37</v>
      </c>
      <c r="S148" t="s">
        <v>37</v>
      </c>
      <c r="T148" t="s">
        <v>37</v>
      </c>
      <c r="U148" t="s">
        <v>37</v>
      </c>
      <c r="V148" t="s">
        <v>37</v>
      </c>
      <c r="W148" t="s">
        <v>37</v>
      </c>
      <c r="X148" t="s">
        <v>37</v>
      </c>
      <c r="Y148" t="s">
        <v>37</v>
      </c>
      <c r="Z148" t="s">
        <v>37</v>
      </c>
      <c r="AA148" t="s">
        <v>37</v>
      </c>
      <c r="AB148">
        <v>6</v>
      </c>
      <c r="AC148">
        <v>0</v>
      </c>
      <c r="AD148">
        <f t="shared" ca="1" si="2"/>
        <v>7</v>
      </c>
      <c r="AE148" t="e">
        <f>AVERAGE(Table1[[#This Row],[Runs Conceded]]/Table1[[#This Row],[Wickets Taken]])</f>
        <v>#VALUE!</v>
      </c>
    </row>
    <row r="149" spans="1:31" x14ac:dyDescent="0.3">
      <c r="A149" t="s">
        <v>161</v>
      </c>
      <c r="B149" t="s">
        <v>166</v>
      </c>
      <c r="C149" t="s">
        <v>28</v>
      </c>
      <c r="D149">
        <v>12</v>
      </c>
      <c r="E149">
        <v>11</v>
      </c>
      <c r="F149">
        <v>3</v>
      </c>
      <c r="G149">
        <v>248</v>
      </c>
      <c r="H149">
        <v>52</v>
      </c>
      <c r="I149">
        <v>31</v>
      </c>
      <c r="J149">
        <v>183</v>
      </c>
      <c r="K149">
        <v>135.51</v>
      </c>
      <c r="L149">
        <v>0</v>
      </c>
      <c r="M149">
        <v>2</v>
      </c>
      <c r="N149">
        <v>1</v>
      </c>
      <c r="O149">
        <v>17</v>
      </c>
      <c r="P149">
        <v>9</v>
      </c>
      <c r="Q149" t="s">
        <v>37</v>
      </c>
      <c r="R149" t="s">
        <v>37</v>
      </c>
      <c r="S149" t="s">
        <v>37</v>
      </c>
      <c r="T149" t="s">
        <v>37</v>
      </c>
      <c r="U149" t="s">
        <v>37</v>
      </c>
      <c r="V149" t="s">
        <v>37</v>
      </c>
      <c r="W149" t="s">
        <v>37</v>
      </c>
      <c r="X149" t="s">
        <v>37</v>
      </c>
      <c r="Y149" t="s">
        <v>37</v>
      </c>
      <c r="Z149" t="s">
        <v>37</v>
      </c>
      <c r="AA149" t="s">
        <v>37</v>
      </c>
      <c r="AB149">
        <v>7</v>
      </c>
      <c r="AC149">
        <v>0</v>
      </c>
      <c r="AD149">
        <f t="shared" ca="1" si="2"/>
        <v>4</v>
      </c>
      <c r="AE149" t="e">
        <f>AVERAGE(Table1[[#This Row],[Runs Conceded]]/Table1[[#This Row],[Wickets Taken]])</f>
        <v>#VALUE!</v>
      </c>
    </row>
    <row r="150" spans="1:31" x14ac:dyDescent="0.3">
      <c r="A150" t="s">
        <v>161</v>
      </c>
      <c r="B150" t="s">
        <v>166</v>
      </c>
      <c r="C150" t="s">
        <v>30</v>
      </c>
      <c r="D150">
        <v>14</v>
      </c>
      <c r="E150">
        <v>13</v>
      </c>
      <c r="F150">
        <v>5</v>
      </c>
      <c r="G150">
        <v>396</v>
      </c>
      <c r="H150" t="s">
        <v>167</v>
      </c>
      <c r="I150">
        <v>49.5</v>
      </c>
      <c r="J150">
        <v>308</v>
      </c>
      <c r="K150">
        <v>128.57</v>
      </c>
      <c r="L150">
        <v>0</v>
      </c>
      <c r="M150">
        <v>2</v>
      </c>
      <c r="N150">
        <v>0</v>
      </c>
      <c r="O150">
        <v>28</v>
      </c>
      <c r="P150">
        <v>12</v>
      </c>
      <c r="Q150" t="s">
        <v>37</v>
      </c>
      <c r="R150" t="s">
        <v>37</v>
      </c>
      <c r="S150" t="s">
        <v>37</v>
      </c>
      <c r="T150" t="s">
        <v>37</v>
      </c>
      <c r="U150" t="s">
        <v>37</v>
      </c>
      <c r="V150" t="s">
        <v>37</v>
      </c>
      <c r="W150" t="s">
        <v>37</v>
      </c>
      <c r="X150" t="s">
        <v>37</v>
      </c>
      <c r="Y150" t="s">
        <v>37</v>
      </c>
      <c r="Z150" t="s">
        <v>37</v>
      </c>
      <c r="AA150" t="s">
        <v>37</v>
      </c>
      <c r="AB150">
        <v>8</v>
      </c>
      <c r="AC150">
        <v>0</v>
      </c>
      <c r="AD150">
        <f t="shared" ca="1" si="2"/>
        <v>11</v>
      </c>
      <c r="AE150" t="e">
        <f>AVERAGE(Table1[[#This Row],[Runs Conceded]]/Table1[[#This Row],[Wickets Taken]])</f>
        <v>#VALUE!</v>
      </c>
    </row>
    <row r="151" spans="1:31" x14ac:dyDescent="0.3">
      <c r="A151" t="s">
        <v>161</v>
      </c>
      <c r="B151" t="s">
        <v>168</v>
      </c>
      <c r="C151" t="s">
        <v>28</v>
      </c>
      <c r="D151">
        <v>12</v>
      </c>
      <c r="E151">
        <v>8</v>
      </c>
      <c r="F151">
        <v>1</v>
      </c>
      <c r="G151">
        <v>188</v>
      </c>
      <c r="H151" t="s">
        <v>169</v>
      </c>
      <c r="I151">
        <v>26.85</v>
      </c>
      <c r="J151">
        <v>114</v>
      </c>
      <c r="K151">
        <v>164.91</v>
      </c>
      <c r="L151">
        <v>0</v>
      </c>
      <c r="M151">
        <v>0</v>
      </c>
      <c r="N151">
        <v>0</v>
      </c>
      <c r="O151">
        <v>10</v>
      </c>
      <c r="P151">
        <v>15</v>
      </c>
      <c r="Q151">
        <v>12</v>
      </c>
      <c r="R151">
        <v>36.299999999999997</v>
      </c>
      <c r="S151">
        <v>0</v>
      </c>
      <c r="T151">
        <v>291</v>
      </c>
      <c r="U151">
        <v>15</v>
      </c>
      <c r="V151" s="1">
        <v>43922</v>
      </c>
      <c r="W151">
        <v>19.399999999999999</v>
      </c>
      <c r="X151">
        <v>7.97</v>
      </c>
      <c r="Y151">
        <v>14.6</v>
      </c>
      <c r="Z151">
        <v>1</v>
      </c>
      <c r="AA151">
        <v>0</v>
      </c>
      <c r="AB151">
        <v>2</v>
      </c>
      <c r="AC151">
        <v>0</v>
      </c>
      <c r="AD151">
        <f t="shared" ca="1" si="2"/>
        <v>11</v>
      </c>
      <c r="AE151">
        <f>AVERAGE(Table1[[#This Row],[Runs Conceded]]/Table1[[#This Row],[Wickets Taken]])</f>
        <v>19.399999999999999</v>
      </c>
    </row>
    <row r="152" spans="1:31" x14ac:dyDescent="0.3">
      <c r="A152" t="s">
        <v>161</v>
      </c>
      <c r="B152" t="s">
        <v>168</v>
      </c>
      <c r="C152" t="s">
        <v>32</v>
      </c>
      <c r="D152">
        <v>16</v>
      </c>
      <c r="E152">
        <v>14</v>
      </c>
      <c r="F152">
        <v>3</v>
      </c>
      <c r="G152">
        <v>316</v>
      </c>
      <c r="H152" t="s">
        <v>170</v>
      </c>
      <c r="I152">
        <v>28.72</v>
      </c>
      <c r="J152">
        <v>171</v>
      </c>
      <c r="K152">
        <v>184.79</v>
      </c>
      <c r="L152">
        <v>0</v>
      </c>
      <c r="M152">
        <v>1</v>
      </c>
      <c r="N152">
        <v>1</v>
      </c>
      <c r="O152">
        <v>17</v>
      </c>
      <c r="P152">
        <v>31</v>
      </c>
      <c r="Q152">
        <v>15</v>
      </c>
      <c r="R152">
        <v>37.5</v>
      </c>
      <c r="S152">
        <v>0</v>
      </c>
      <c r="T152">
        <v>355</v>
      </c>
      <c r="U152">
        <v>13</v>
      </c>
      <c r="V152" s="1">
        <v>11383</v>
      </c>
      <c r="W152">
        <v>27.3</v>
      </c>
      <c r="X152">
        <v>9.3800000000000008</v>
      </c>
      <c r="Y152">
        <v>17.399999999999999</v>
      </c>
      <c r="Z152">
        <v>0</v>
      </c>
      <c r="AA152">
        <v>0</v>
      </c>
      <c r="AB152">
        <v>8</v>
      </c>
      <c r="AC152">
        <v>0</v>
      </c>
      <c r="AD152">
        <f t="shared" ca="1" si="2"/>
        <v>5</v>
      </c>
      <c r="AE152">
        <f>AVERAGE(Table1[[#This Row],[Runs Conceded]]/Table1[[#This Row],[Wickets Taken]])</f>
        <v>27.307692307692307</v>
      </c>
    </row>
    <row r="153" spans="1:31" x14ac:dyDescent="0.3">
      <c r="A153" t="s">
        <v>161</v>
      </c>
      <c r="B153" t="s">
        <v>168</v>
      </c>
      <c r="C153" t="s">
        <v>92</v>
      </c>
      <c r="D153">
        <v>14</v>
      </c>
      <c r="E153">
        <v>13</v>
      </c>
      <c r="F153">
        <v>4</v>
      </c>
      <c r="G153">
        <v>510</v>
      </c>
      <c r="H153" t="s">
        <v>171</v>
      </c>
      <c r="I153">
        <v>56.66</v>
      </c>
      <c r="J153">
        <v>249</v>
      </c>
      <c r="K153">
        <v>204.81</v>
      </c>
      <c r="L153">
        <v>0</v>
      </c>
      <c r="M153">
        <v>4</v>
      </c>
      <c r="N153">
        <v>1</v>
      </c>
      <c r="O153">
        <v>31</v>
      </c>
      <c r="P153">
        <v>52</v>
      </c>
      <c r="Q153">
        <v>12</v>
      </c>
      <c r="R153">
        <v>30.1</v>
      </c>
      <c r="S153">
        <v>0</v>
      </c>
      <c r="T153">
        <v>287</v>
      </c>
      <c r="U153">
        <v>11</v>
      </c>
      <c r="V153" s="1">
        <v>44228</v>
      </c>
      <c r="W153">
        <v>26.09</v>
      </c>
      <c r="X153">
        <v>9.51</v>
      </c>
      <c r="Y153">
        <v>16.399999999999999</v>
      </c>
      <c r="Z153">
        <v>0</v>
      </c>
      <c r="AA153">
        <v>0</v>
      </c>
      <c r="AB153">
        <v>4</v>
      </c>
      <c r="AC153">
        <v>0</v>
      </c>
      <c r="AD153">
        <f t="shared" ca="1" si="2"/>
        <v>12</v>
      </c>
      <c r="AE153">
        <f>AVERAGE(Table1[[#This Row],[Runs Conceded]]/Table1[[#This Row],[Wickets Taken]])</f>
        <v>26.09090909090909</v>
      </c>
    </row>
    <row r="154" spans="1:31" x14ac:dyDescent="0.3">
      <c r="A154" t="s">
        <v>161</v>
      </c>
      <c r="B154" t="s">
        <v>172</v>
      </c>
      <c r="C154" t="s">
        <v>28</v>
      </c>
      <c r="D154">
        <v>15</v>
      </c>
      <c r="E154">
        <v>15</v>
      </c>
      <c r="F154">
        <v>0</v>
      </c>
      <c r="G154">
        <v>394</v>
      </c>
      <c r="H154">
        <v>72</v>
      </c>
      <c r="I154">
        <v>26.26</v>
      </c>
      <c r="J154">
        <v>289</v>
      </c>
      <c r="K154">
        <v>136.33000000000001</v>
      </c>
      <c r="L154">
        <v>0</v>
      </c>
      <c r="M154">
        <v>3</v>
      </c>
      <c r="N154">
        <v>1</v>
      </c>
      <c r="O154">
        <v>45</v>
      </c>
      <c r="P154">
        <v>8</v>
      </c>
      <c r="Q154" t="s">
        <v>37</v>
      </c>
      <c r="R154" t="s">
        <v>37</v>
      </c>
      <c r="S154" t="s">
        <v>37</v>
      </c>
      <c r="T154" t="s">
        <v>37</v>
      </c>
      <c r="U154" t="s">
        <v>37</v>
      </c>
      <c r="V154" t="s">
        <v>37</v>
      </c>
      <c r="W154" t="s">
        <v>37</v>
      </c>
      <c r="X154" t="s">
        <v>37</v>
      </c>
      <c r="Y154" t="s">
        <v>37</v>
      </c>
      <c r="Z154" t="s">
        <v>37</v>
      </c>
      <c r="AA154" t="s">
        <v>37</v>
      </c>
      <c r="AB154">
        <v>10</v>
      </c>
      <c r="AC154">
        <v>4</v>
      </c>
      <c r="AD154">
        <f t="shared" ca="1" si="2"/>
        <v>5</v>
      </c>
      <c r="AE154" t="e">
        <f>AVERAGE(Table1[[#This Row],[Runs Conceded]]/Table1[[#This Row],[Wickets Taken]])</f>
        <v>#VALUE!</v>
      </c>
    </row>
    <row r="155" spans="1:31" x14ac:dyDescent="0.3">
      <c r="A155" t="s">
        <v>161</v>
      </c>
      <c r="B155" t="s">
        <v>172</v>
      </c>
      <c r="C155" t="s">
        <v>30</v>
      </c>
      <c r="D155">
        <v>14</v>
      </c>
      <c r="E155">
        <v>13</v>
      </c>
      <c r="F155">
        <v>0</v>
      </c>
      <c r="G155">
        <v>388</v>
      </c>
      <c r="H155">
        <v>87</v>
      </c>
      <c r="I155">
        <v>29.84</v>
      </c>
      <c r="J155">
        <v>235</v>
      </c>
      <c r="K155">
        <v>165.1</v>
      </c>
      <c r="L155">
        <v>0</v>
      </c>
      <c r="M155">
        <v>5</v>
      </c>
      <c r="N155">
        <v>1</v>
      </c>
      <c r="O155">
        <v>36</v>
      </c>
      <c r="P155">
        <v>21</v>
      </c>
      <c r="Q155" t="s">
        <v>37</v>
      </c>
      <c r="R155" t="s">
        <v>37</v>
      </c>
      <c r="S155" t="s">
        <v>37</v>
      </c>
      <c r="T155" t="s">
        <v>37</v>
      </c>
      <c r="U155" t="s">
        <v>37</v>
      </c>
      <c r="V155" t="s">
        <v>37</v>
      </c>
      <c r="W155" t="s">
        <v>37</v>
      </c>
      <c r="X155" t="s">
        <v>37</v>
      </c>
      <c r="Y155" t="s">
        <v>37</v>
      </c>
      <c r="Z155" t="s">
        <v>37</v>
      </c>
      <c r="AA155" t="s">
        <v>37</v>
      </c>
      <c r="AB155">
        <v>9</v>
      </c>
      <c r="AC155">
        <v>6</v>
      </c>
      <c r="AD155">
        <f t="shared" ca="1" si="2"/>
        <v>16</v>
      </c>
      <c r="AE155" t="e">
        <f>AVERAGE(Table1[[#This Row],[Runs Conceded]]/Table1[[#This Row],[Wickets Taken]])</f>
        <v>#VALUE!</v>
      </c>
    </row>
    <row r="156" spans="1:31" x14ac:dyDescent="0.3">
      <c r="A156" t="s">
        <v>161</v>
      </c>
      <c r="B156" t="s">
        <v>172</v>
      </c>
      <c r="C156" t="s">
        <v>32</v>
      </c>
      <c r="D156">
        <v>16</v>
      </c>
      <c r="E156">
        <v>16</v>
      </c>
      <c r="F156">
        <v>0</v>
      </c>
      <c r="G156">
        <v>351</v>
      </c>
      <c r="H156">
        <v>54</v>
      </c>
      <c r="I156">
        <v>21.93</v>
      </c>
      <c r="J156">
        <v>265</v>
      </c>
      <c r="K156">
        <v>132.44999999999999</v>
      </c>
      <c r="L156">
        <v>0</v>
      </c>
      <c r="M156">
        <v>1</v>
      </c>
      <c r="N156">
        <v>0</v>
      </c>
      <c r="O156">
        <v>30</v>
      </c>
      <c r="P156">
        <v>21</v>
      </c>
      <c r="Q156" t="s">
        <v>37</v>
      </c>
      <c r="R156" t="s">
        <v>37</v>
      </c>
      <c r="S156" t="s">
        <v>37</v>
      </c>
      <c r="T156" t="s">
        <v>37</v>
      </c>
      <c r="U156" t="s">
        <v>37</v>
      </c>
      <c r="V156" t="s">
        <v>37</v>
      </c>
      <c r="W156" t="s">
        <v>37</v>
      </c>
      <c r="X156" t="s">
        <v>37</v>
      </c>
      <c r="Y156" t="s">
        <v>37</v>
      </c>
      <c r="Z156" t="s">
        <v>37</v>
      </c>
      <c r="AA156" t="s">
        <v>37</v>
      </c>
      <c r="AB156">
        <v>5</v>
      </c>
      <c r="AC156">
        <v>0</v>
      </c>
      <c r="AD156">
        <f t="shared" ca="1" si="2"/>
        <v>18</v>
      </c>
      <c r="AE156" t="e">
        <f>AVERAGE(Table1[[#This Row],[Runs Conceded]]/Table1[[#This Row],[Wickets Taken]])</f>
        <v>#VALUE!</v>
      </c>
    </row>
    <row r="157" spans="1:31" x14ac:dyDescent="0.3">
      <c r="A157" t="s">
        <v>161</v>
      </c>
      <c r="B157" t="s">
        <v>172</v>
      </c>
      <c r="C157" t="s">
        <v>92</v>
      </c>
      <c r="D157">
        <v>12</v>
      </c>
      <c r="E157">
        <v>11</v>
      </c>
      <c r="F157">
        <v>2</v>
      </c>
      <c r="G157">
        <v>282</v>
      </c>
      <c r="H157" t="s">
        <v>173</v>
      </c>
      <c r="I157">
        <v>31.33</v>
      </c>
      <c r="J157">
        <v>245</v>
      </c>
      <c r="K157">
        <v>115.1</v>
      </c>
      <c r="L157">
        <v>0</v>
      </c>
      <c r="M157">
        <v>1</v>
      </c>
      <c r="N157">
        <v>1</v>
      </c>
      <c r="O157">
        <v>28</v>
      </c>
      <c r="P157">
        <v>10</v>
      </c>
      <c r="Q157" t="s">
        <v>37</v>
      </c>
      <c r="R157" t="s">
        <v>37</v>
      </c>
      <c r="S157" t="s">
        <v>37</v>
      </c>
      <c r="T157" t="s">
        <v>37</v>
      </c>
      <c r="U157" t="s">
        <v>37</v>
      </c>
      <c r="V157" t="s">
        <v>37</v>
      </c>
      <c r="W157" t="s">
        <v>37</v>
      </c>
      <c r="X157" t="s">
        <v>37</v>
      </c>
      <c r="Y157" t="s">
        <v>37</v>
      </c>
      <c r="Z157" t="s">
        <v>37</v>
      </c>
      <c r="AA157" t="s">
        <v>37</v>
      </c>
      <c r="AB157">
        <v>4</v>
      </c>
      <c r="AC157">
        <v>0</v>
      </c>
      <c r="AD157">
        <f t="shared" ca="1" si="2"/>
        <v>15</v>
      </c>
      <c r="AE157" t="e">
        <f>AVERAGE(Table1[[#This Row],[Runs Conceded]]/Table1[[#This Row],[Wickets Taken]])</f>
        <v>#VALUE!</v>
      </c>
    </row>
    <row r="158" spans="1:31" x14ac:dyDescent="0.3">
      <c r="A158" t="s">
        <v>161</v>
      </c>
      <c r="B158" t="s">
        <v>174</v>
      </c>
      <c r="C158" t="s">
        <v>28</v>
      </c>
      <c r="D158">
        <v>15</v>
      </c>
      <c r="E158">
        <v>11</v>
      </c>
      <c r="F158">
        <v>4</v>
      </c>
      <c r="G158">
        <v>182</v>
      </c>
      <c r="H158">
        <v>60</v>
      </c>
      <c r="I158">
        <v>26</v>
      </c>
      <c r="J158">
        <v>143</v>
      </c>
      <c r="K158">
        <v>127.27</v>
      </c>
      <c r="L158">
        <v>0</v>
      </c>
      <c r="M158">
        <v>1</v>
      </c>
      <c r="N158">
        <v>0</v>
      </c>
      <c r="O158">
        <v>18</v>
      </c>
      <c r="P158">
        <v>5</v>
      </c>
      <c r="Q158" t="s">
        <v>37</v>
      </c>
      <c r="R158" t="s">
        <v>37</v>
      </c>
      <c r="S158" t="s">
        <v>37</v>
      </c>
      <c r="T158" t="s">
        <v>37</v>
      </c>
      <c r="U158" t="s">
        <v>37</v>
      </c>
      <c r="V158" t="s">
        <v>37</v>
      </c>
      <c r="W158" t="s">
        <v>37</v>
      </c>
      <c r="X158" t="s">
        <v>37</v>
      </c>
      <c r="Y158" t="s">
        <v>37</v>
      </c>
      <c r="Z158" t="s">
        <v>37</v>
      </c>
      <c r="AA158" t="s">
        <v>37</v>
      </c>
      <c r="AB158">
        <v>6</v>
      </c>
      <c r="AC158">
        <v>0</v>
      </c>
      <c r="AD158">
        <f t="shared" ca="1" si="2"/>
        <v>13</v>
      </c>
      <c r="AE158" t="e">
        <f>AVERAGE(Table1[[#This Row],[Runs Conceded]]/Table1[[#This Row],[Wickets Taken]])</f>
        <v>#VALUE!</v>
      </c>
    </row>
    <row r="159" spans="1:31" x14ac:dyDescent="0.3">
      <c r="A159" t="s">
        <v>161</v>
      </c>
      <c r="B159" t="s">
        <v>174</v>
      </c>
      <c r="C159" t="s">
        <v>30</v>
      </c>
      <c r="D159">
        <v>10</v>
      </c>
      <c r="E159">
        <v>7</v>
      </c>
      <c r="F159">
        <v>1</v>
      </c>
      <c r="G159">
        <v>105</v>
      </c>
      <c r="H159">
        <v>31</v>
      </c>
      <c r="I159">
        <v>17.5</v>
      </c>
      <c r="J159">
        <v>88</v>
      </c>
      <c r="K159">
        <v>119.31</v>
      </c>
      <c r="L159">
        <v>0</v>
      </c>
      <c r="M159">
        <v>0</v>
      </c>
      <c r="N159">
        <v>0</v>
      </c>
      <c r="O159">
        <v>8</v>
      </c>
      <c r="P159">
        <v>3</v>
      </c>
      <c r="Q159" t="s">
        <v>37</v>
      </c>
      <c r="R159" t="s">
        <v>37</v>
      </c>
      <c r="S159" t="s">
        <v>37</v>
      </c>
      <c r="T159" t="s">
        <v>37</v>
      </c>
      <c r="U159" t="s">
        <v>37</v>
      </c>
      <c r="V159" t="s">
        <v>37</v>
      </c>
      <c r="W159" t="s">
        <v>37</v>
      </c>
      <c r="X159" t="s">
        <v>37</v>
      </c>
      <c r="Y159" t="s">
        <v>37</v>
      </c>
      <c r="Z159" t="s">
        <v>37</v>
      </c>
      <c r="AA159" t="s">
        <v>37</v>
      </c>
      <c r="AB159">
        <v>5</v>
      </c>
      <c r="AC159">
        <v>0</v>
      </c>
      <c r="AD159">
        <f t="shared" ca="1" si="2"/>
        <v>18</v>
      </c>
      <c r="AE159" t="e">
        <f>AVERAGE(Table1[[#This Row],[Runs Conceded]]/Table1[[#This Row],[Wickets Taken]])</f>
        <v>#VALUE!</v>
      </c>
    </row>
    <row r="160" spans="1:31" x14ac:dyDescent="0.3">
      <c r="A160" t="s">
        <v>161</v>
      </c>
      <c r="B160" t="s">
        <v>175</v>
      </c>
      <c r="C160" t="s">
        <v>28</v>
      </c>
      <c r="D160">
        <v>2</v>
      </c>
      <c r="E160">
        <v>2</v>
      </c>
      <c r="F160">
        <v>1</v>
      </c>
      <c r="G160">
        <v>25</v>
      </c>
      <c r="H160">
        <v>15</v>
      </c>
      <c r="I160">
        <v>25</v>
      </c>
      <c r="J160">
        <v>22</v>
      </c>
      <c r="K160">
        <v>113.63</v>
      </c>
      <c r="L160">
        <v>0</v>
      </c>
      <c r="M160">
        <v>0</v>
      </c>
      <c r="N160">
        <v>0</v>
      </c>
      <c r="O160">
        <v>0</v>
      </c>
      <c r="P160">
        <v>1</v>
      </c>
      <c r="Q160" t="s">
        <v>37</v>
      </c>
      <c r="R160" t="s">
        <v>37</v>
      </c>
      <c r="S160" t="s">
        <v>37</v>
      </c>
      <c r="T160" t="s">
        <v>37</v>
      </c>
      <c r="U160" t="s">
        <v>37</v>
      </c>
      <c r="V160" t="s">
        <v>37</v>
      </c>
      <c r="W160" t="s">
        <v>37</v>
      </c>
      <c r="X160" t="s">
        <v>37</v>
      </c>
      <c r="Y160" t="s">
        <v>37</v>
      </c>
      <c r="Z160" t="s">
        <v>37</v>
      </c>
      <c r="AA160" t="s">
        <v>37</v>
      </c>
      <c r="AB160">
        <v>1</v>
      </c>
      <c r="AC160">
        <v>0</v>
      </c>
      <c r="AD160">
        <f t="shared" ca="1" si="2"/>
        <v>8</v>
      </c>
      <c r="AE160" t="e">
        <f>AVERAGE(Table1[[#This Row],[Runs Conceded]]/Table1[[#This Row],[Wickets Taken]])</f>
        <v>#VALUE!</v>
      </c>
    </row>
    <row r="161" spans="1:31" x14ac:dyDescent="0.3">
      <c r="A161" t="s">
        <v>161</v>
      </c>
      <c r="B161" t="s">
        <v>175</v>
      </c>
      <c r="C161" t="s">
        <v>30</v>
      </c>
      <c r="D161">
        <v>7</v>
      </c>
      <c r="E161">
        <v>7</v>
      </c>
      <c r="F161">
        <v>1</v>
      </c>
      <c r="G161">
        <v>295</v>
      </c>
      <c r="H161" t="s">
        <v>49</v>
      </c>
      <c r="I161">
        <v>49.16</v>
      </c>
      <c r="J161">
        <v>163</v>
      </c>
      <c r="K161">
        <v>180.98</v>
      </c>
      <c r="L161">
        <v>0</v>
      </c>
      <c r="M161">
        <v>3</v>
      </c>
      <c r="N161">
        <v>0</v>
      </c>
      <c r="O161">
        <v>25</v>
      </c>
      <c r="P161">
        <v>19</v>
      </c>
      <c r="Q161" t="s">
        <v>37</v>
      </c>
      <c r="R161" t="s">
        <v>37</v>
      </c>
      <c r="S161" t="s">
        <v>37</v>
      </c>
      <c r="T161" t="s">
        <v>37</v>
      </c>
      <c r="U161" t="s">
        <v>37</v>
      </c>
      <c r="V161" t="s">
        <v>37</v>
      </c>
      <c r="W161" t="s">
        <v>37</v>
      </c>
      <c r="X161" t="s">
        <v>37</v>
      </c>
      <c r="Y161" t="s">
        <v>37</v>
      </c>
      <c r="Z161" t="s">
        <v>37</v>
      </c>
      <c r="AA161" t="s">
        <v>37</v>
      </c>
      <c r="AB161">
        <v>2</v>
      </c>
      <c r="AC161">
        <v>0</v>
      </c>
      <c r="AD161">
        <f t="shared" ca="1" si="2"/>
        <v>16</v>
      </c>
      <c r="AE161" t="e">
        <f>AVERAGE(Table1[[#This Row],[Runs Conceded]]/Table1[[#This Row],[Wickets Taken]])</f>
        <v>#VALUE!</v>
      </c>
    </row>
    <row r="162" spans="1:31" x14ac:dyDescent="0.3">
      <c r="A162" t="s">
        <v>161</v>
      </c>
      <c r="B162" t="s">
        <v>175</v>
      </c>
      <c r="C162" t="s">
        <v>32</v>
      </c>
      <c r="D162">
        <v>16</v>
      </c>
      <c r="E162">
        <v>16</v>
      </c>
      <c r="F162">
        <v>1</v>
      </c>
      <c r="G162">
        <v>491</v>
      </c>
      <c r="H162">
        <v>74</v>
      </c>
      <c r="I162">
        <v>32.729999999999997</v>
      </c>
      <c r="J162">
        <v>377</v>
      </c>
      <c r="K162">
        <v>130.22999999999999</v>
      </c>
      <c r="L162">
        <v>0</v>
      </c>
      <c r="M162">
        <v>3</v>
      </c>
      <c r="N162">
        <v>1</v>
      </c>
      <c r="O162">
        <v>56</v>
      </c>
      <c r="P162">
        <v>18</v>
      </c>
      <c r="Q162" t="s">
        <v>37</v>
      </c>
      <c r="R162" t="s">
        <v>37</v>
      </c>
      <c r="S162" t="s">
        <v>37</v>
      </c>
      <c r="T162" t="s">
        <v>37</v>
      </c>
      <c r="U162" t="s">
        <v>37</v>
      </c>
      <c r="V162" t="s">
        <v>37</v>
      </c>
      <c r="W162" t="s">
        <v>37</v>
      </c>
      <c r="X162" t="s">
        <v>37</v>
      </c>
      <c r="Y162" t="s">
        <v>37</v>
      </c>
      <c r="Z162" t="s">
        <v>37</v>
      </c>
      <c r="AA162" t="s">
        <v>37</v>
      </c>
      <c r="AB162">
        <v>3</v>
      </c>
      <c r="AC162">
        <v>0</v>
      </c>
      <c r="AD162">
        <f t="shared" ca="1" si="2"/>
        <v>5</v>
      </c>
      <c r="AE162" t="e">
        <f>AVERAGE(Table1[[#This Row],[Runs Conceded]]/Table1[[#This Row],[Wickets Taken]])</f>
        <v>#VALUE!</v>
      </c>
    </row>
    <row r="163" spans="1:31" x14ac:dyDescent="0.3">
      <c r="A163" t="s">
        <v>161</v>
      </c>
      <c r="B163" t="s">
        <v>175</v>
      </c>
      <c r="C163" t="s">
        <v>92</v>
      </c>
      <c r="D163">
        <v>13</v>
      </c>
      <c r="E163">
        <v>13</v>
      </c>
      <c r="F163">
        <v>0</v>
      </c>
      <c r="G163">
        <v>405</v>
      </c>
      <c r="H163">
        <v>82</v>
      </c>
      <c r="I163">
        <v>31.15</v>
      </c>
      <c r="J163">
        <v>290</v>
      </c>
      <c r="K163">
        <v>139.65</v>
      </c>
      <c r="L163">
        <v>0</v>
      </c>
      <c r="M163">
        <v>4</v>
      </c>
      <c r="N163">
        <v>2</v>
      </c>
      <c r="O163">
        <v>41</v>
      </c>
      <c r="P163">
        <v>22</v>
      </c>
      <c r="Q163" t="s">
        <v>37</v>
      </c>
      <c r="R163" t="s">
        <v>37</v>
      </c>
      <c r="S163" t="s">
        <v>37</v>
      </c>
      <c r="T163" t="s">
        <v>37</v>
      </c>
      <c r="U163" t="s">
        <v>37</v>
      </c>
      <c r="V163" t="s">
        <v>37</v>
      </c>
      <c r="W163" t="s">
        <v>37</v>
      </c>
      <c r="X163" t="s">
        <v>37</v>
      </c>
      <c r="Y163" t="s">
        <v>37</v>
      </c>
      <c r="Z163" t="s">
        <v>37</v>
      </c>
      <c r="AA163" t="s">
        <v>37</v>
      </c>
      <c r="AB163">
        <v>1</v>
      </c>
      <c r="AC163">
        <v>0</v>
      </c>
      <c r="AD163">
        <f t="shared" ca="1" si="2"/>
        <v>13</v>
      </c>
      <c r="AE163" t="e">
        <f>AVERAGE(Table1[[#This Row],[Runs Conceded]]/Table1[[#This Row],[Wickets Taken]])</f>
        <v>#VALUE!</v>
      </c>
    </row>
    <row r="164" spans="1:31" x14ac:dyDescent="0.3">
      <c r="A164" t="s">
        <v>161</v>
      </c>
      <c r="B164" t="s">
        <v>176</v>
      </c>
      <c r="C164" t="s">
        <v>28</v>
      </c>
      <c r="D164">
        <v>10</v>
      </c>
      <c r="E164">
        <v>7</v>
      </c>
      <c r="F164">
        <v>2</v>
      </c>
      <c r="G164">
        <v>114</v>
      </c>
      <c r="H164" t="s">
        <v>177</v>
      </c>
      <c r="I164">
        <v>22.8</v>
      </c>
      <c r="J164">
        <v>106</v>
      </c>
      <c r="K164">
        <v>107.54</v>
      </c>
      <c r="L164">
        <v>0</v>
      </c>
      <c r="M164">
        <v>1</v>
      </c>
      <c r="N164">
        <v>0</v>
      </c>
      <c r="O164">
        <v>7</v>
      </c>
      <c r="P164">
        <v>5</v>
      </c>
      <c r="Q164">
        <v>9</v>
      </c>
      <c r="R164">
        <v>31</v>
      </c>
      <c r="S164">
        <v>0</v>
      </c>
      <c r="T164">
        <v>243</v>
      </c>
      <c r="U164">
        <v>5</v>
      </c>
      <c r="V164" s="1">
        <v>41640</v>
      </c>
      <c r="W164">
        <v>48.6</v>
      </c>
      <c r="X164">
        <v>7.83</v>
      </c>
      <c r="Y164">
        <v>37.200000000000003</v>
      </c>
      <c r="Z164">
        <v>0</v>
      </c>
      <c r="AA164">
        <v>0</v>
      </c>
      <c r="AB164">
        <v>4</v>
      </c>
      <c r="AC164">
        <v>0</v>
      </c>
      <c r="AD164">
        <f t="shared" ca="1" si="2"/>
        <v>17</v>
      </c>
      <c r="AE164">
        <f>AVERAGE(Table1[[#This Row],[Runs Conceded]]/Table1[[#This Row],[Wickets Taken]])</f>
        <v>48.6</v>
      </c>
    </row>
    <row r="165" spans="1:31" x14ac:dyDescent="0.3">
      <c r="A165" t="s">
        <v>161</v>
      </c>
      <c r="B165" t="s">
        <v>176</v>
      </c>
      <c r="C165" t="s">
        <v>30</v>
      </c>
      <c r="D165">
        <v>1</v>
      </c>
      <c r="E165">
        <v>1</v>
      </c>
      <c r="F165">
        <v>1</v>
      </c>
      <c r="G165">
        <v>1</v>
      </c>
      <c r="H165" t="s">
        <v>55</v>
      </c>
      <c r="I165" t="s">
        <v>37</v>
      </c>
      <c r="J165">
        <v>1</v>
      </c>
      <c r="K165">
        <v>100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</v>
      </c>
      <c r="R165">
        <v>3</v>
      </c>
      <c r="S165">
        <v>0</v>
      </c>
      <c r="T165">
        <v>31</v>
      </c>
      <c r="U165">
        <v>0</v>
      </c>
      <c r="V165" t="s">
        <v>37</v>
      </c>
      <c r="W165" t="s">
        <v>37</v>
      </c>
      <c r="X165">
        <v>10.33</v>
      </c>
      <c r="Y165" t="s">
        <v>37</v>
      </c>
      <c r="Z165">
        <v>0</v>
      </c>
      <c r="AA165">
        <v>0</v>
      </c>
      <c r="AB165">
        <v>0</v>
      </c>
      <c r="AC165">
        <v>0</v>
      </c>
      <c r="AD165">
        <f t="shared" ca="1" si="2"/>
        <v>8</v>
      </c>
      <c r="AE165" t="e">
        <f>AVERAGE(Table1[[#This Row],[Runs Conceded]]/Table1[[#This Row],[Wickets Taken]])</f>
        <v>#DIV/0!</v>
      </c>
    </row>
    <row r="166" spans="1:31" x14ac:dyDescent="0.3">
      <c r="A166" t="s">
        <v>161</v>
      </c>
      <c r="B166" t="s">
        <v>64</v>
      </c>
      <c r="C166" t="s">
        <v>28</v>
      </c>
      <c r="D166">
        <v>4</v>
      </c>
      <c r="E166">
        <v>3</v>
      </c>
      <c r="F166">
        <v>0</v>
      </c>
      <c r="G166">
        <v>30</v>
      </c>
      <c r="H166">
        <v>16</v>
      </c>
      <c r="I166">
        <v>10</v>
      </c>
      <c r="J166">
        <v>30</v>
      </c>
      <c r="K166">
        <v>100</v>
      </c>
      <c r="L166">
        <v>0</v>
      </c>
      <c r="M166">
        <v>0</v>
      </c>
      <c r="N166">
        <v>0</v>
      </c>
      <c r="O166">
        <v>3</v>
      </c>
      <c r="P166">
        <v>0</v>
      </c>
      <c r="Q166">
        <v>2</v>
      </c>
      <c r="R166">
        <v>2</v>
      </c>
      <c r="S166">
        <v>0</v>
      </c>
      <c r="T166">
        <v>15</v>
      </c>
      <c r="U166">
        <v>0</v>
      </c>
      <c r="V166" t="s">
        <v>37</v>
      </c>
      <c r="W166" t="s">
        <v>37</v>
      </c>
      <c r="X166">
        <v>7.5</v>
      </c>
      <c r="Y166" t="s">
        <v>37</v>
      </c>
      <c r="Z166">
        <v>0</v>
      </c>
      <c r="AA166">
        <v>0</v>
      </c>
      <c r="AB166">
        <v>2</v>
      </c>
      <c r="AC166">
        <v>0</v>
      </c>
      <c r="AD166">
        <f t="shared" ca="1" si="2"/>
        <v>4</v>
      </c>
      <c r="AE166" t="e">
        <f>AVERAGE(Table1[[#This Row],[Runs Conceded]]/Table1[[#This Row],[Wickets Taken]])</f>
        <v>#DIV/0!</v>
      </c>
    </row>
    <row r="167" spans="1:31" x14ac:dyDescent="0.3">
      <c r="A167" t="s">
        <v>161</v>
      </c>
      <c r="B167" t="s">
        <v>178</v>
      </c>
      <c r="C167" t="s">
        <v>28</v>
      </c>
      <c r="D167">
        <v>12</v>
      </c>
      <c r="E167">
        <v>3</v>
      </c>
      <c r="F167">
        <v>0</v>
      </c>
      <c r="G167">
        <v>27</v>
      </c>
      <c r="H167">
        <v>11</v>
      </c>
      <c r="I167">
        <v>9</v>
      </c>
      <c r="J167">
        <v>26</v>
      </c>
      <c r="K167">
        <v>103.84</v>
      </c>
      <c r="L167">
        <v>0</v>
      </c>
      <c r="M167">
        <v>0</v>
      </c>
      <c r="N167">
        <v>0</v>
      </c>
      <c r="O167">
        <v>4</v>
      </c>
      <c r="P167">
        <v>0</v>
      </c>
      <c r="Q167">
        <v>11</v>
      </c>
      <c r="R167">
        <v>35.200000000000003</v>
      </c>
      <c r="S167">
        <v>0</v>
      </c>
      <c r="T167">
        <v>273</v>
      </c>
      <c r="U167">
        <v>11</v>
      </c>
      <c r="V167" s="1">
        <v>44228</v>
      </c>
      <c r="W167">
        <v>24.81</v>
      </c>
      <c r="X167">
        <v>7.72</v>
      </c>
      <c r="Y167">
        <v>19.2</v>
      </c>
      <c r="Z167">
        <v>0</v>
      </c>
      <c r="AA167">
        <v>0</v>
      </c>
      <c r="AB167">
        <v>3</v>
      </c>
      <c r="AC167">
        <v>0</v>
      </c>
      <c r="AD167">
        <f t="shared" ca="1" si="2"/>
        <v>4</v>
      </c>
      <c r="AE167">
        <f>AVERAGE(Table1[[#This Row],[Runs Conceded]]/Table1[[#This Row],[Wickets Taken]])</f>
        <v>24.818181818181817</v>
      </c>
    </row>
    <row r="168" spans="1:31" x14ac:dyDescent="0.3">
      <c r="A168" t="s">
        <v>161</v>
      </c>
      <c r="B168" t="s">
        <v>178</v>
      </c>
      <c r="C168" t="s">
        <v>30</v>
      </c>
      <c r="D168">
        <v>6</v>
      </c>
      <c r="E168">
        <v>1</v>
      </c>
      <c r="F168">
        <v>0</v>
      </c>
      <c r="G168">
        <v>2</v>
      </c>
      <c r="H168">
        <v>2</v>
      </c>
      <c r="I168">
        <v>2</v>
      </c>
      <c r="J168">
        <v>6</v>
      </c>
      <c r="K168">
        <v>33.33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6</v>
      </c>
      <c r="R168">
        <v>20</v>
      </c>
      <c r="S168">
        <v>0</v>
      </c>
      <c r="T168">
        <v>179</v>
      </c>
      <c r="U168">
        <v>6</v>
      </c>
      <c r="V168" s="1">
        <v>12451</v>
      </c>
      <c r="W168">
        <v>29.83</v>
      </c>
      <c r="X168">
        <v>8.9499999999999993</v>
      </c>
      <c r="Y168">
        <v>20</v>
      </c>
      <c r="Z168">
        <v>0</v>
      </c>
      <c r="AA168">
        <v>0</v>
      </c>
      <c r="AB168">
        <v>1</v>
      </c>
      <c r="AC168">
        <v>0</v>
      </c>
      <c r="AD168">
        <f t="shared" ca="1" si="2"/>
        <v>18</v>
      </c>
      <c r="AE168">
        <f>AVERAGE(Table1[[#This Row],[Runs Conceded]]/Table1[[#This Row],[Wickets Taken]])</f>
        <v>29.833333333333332</v>
      </c>
    </row>
    <row r="169" spans="1:31" x14ac:dyDescent="0.3">
      <c r="A169" t="s">
        <v>161</v>
      </c>
      <c r="B169" t="s">
        <v>178</v>
      </c>
      <c r="C169" t="s">
        <v>32</v>
      </c>
      <c r="D169">
        <v>15</v>
      </c>
      <c r="E169">
        <v>7</v>
      </c>
      <c r="F169">
        <v>3</v>
      </c>
      <c r="G169">
        <v>27</v>
      </c>
      <c r="H169">
        <v>12</v>
      </c>
      <c r="I169">
        <v>6.75</v>
      </c>
      <c r="J169">
        <v>34</v>
      </c>
      <c r="K169">
        <v>79.41</v>
      </c>
      <c r="L169">
        <v>0</v>
      </c>
      <c r="M169">
        <v>0</v>
      </c>
      <c r="N169">
        <v>1</v>
      </c>
      <c r="O169">
        <v>1</v>
      </c>
      <c r="P169">
        <v>1</v>
      </c>
      <c r="Q169">
        <v>15</v>
      </c>
      <c r="R169">
        <v>49</v>
      </c>
      <c r="S169">
        <v>0</v>
      </c>
      <c r="T169">
        <v>412</v>
      </c>
      <c r="U169">
        <v>14</v>
      </c>
      <c r="V169" s="1">
        <v>17593</v>
      </c>
      <c r="W169">
        <v>29.42</v>
      </c>
      <c r="X169">
        <v>8.4</v>
      </c>
      <c r="Y169">
        <v>21</v>
      </c>
      <c r="Z169">
        <v>0</v>
      </c>
      <c r="AA169">
        <v>0</v>
      </c>
      <c r="AB169">
        <v>4</v>
      </c>
      <c r="AC169">
        <v>0</v>
      </c>
      <c r="AD169">
        <f t="shared" ca="1" si="2"/>
        <v>16</v>
      </c>
      <c r="AE169">
        <f>AVERAGE(Table1[[#This Row],[Runs Conceded]]/Table1[[#This Row],[Wickets Taken]])</f>
        <v>29.428571428571427</v>
      </c>
    </row>
    <row r="170" spans="1:31" x14ac:dyDescent="0.3">
      <c r="A170" t="s">
        <v>161</v>
      </c>
      <c r="B170" t="s">
        <v>178</v>
      </c>
      <c r="C170" t="s">
        <v>92</v>
      </c>
      <c r="D170">
        <v>13</v>
      </c>
      <c r="E170">
        <v>5</v>
      </c>
      <c r="F170">
        <v>2</v>
      </c>
      <c r="G170">
        <v>42</v>
      </c>
      <c r="H170" t="s">
        <v>179</v>
      </c>
      <c r="I170">
        <v>14</v>
      </c>
      <c r="J170">
        <v>37</v>
      </c>
      <c r="K170">
        <v>113.51</v>
      </c>
      <c r="L170">
        <v>0</v>
      </c>
      <c r="M170">
        <v>0</v>
      </c>
      <c r="N170">
        <v>0</v>
      </c>
      <c r="O170">
        <v>4</v>
      </c>
      <c r="P170">
        <v>2</v>
      </c>
      <c r="Q170">
        <v>13</v>
      </c>
      <c r="R170">
        <v>44.3</v>
      </c>
      <c r="S170">
        <v>0</v>
      </c>
      <c r="T170">
        <v>399</v>
      </c>
      <c r="U170">
        <v>10</v>
      </c>
      <c r="V170" s="1">
        <v>43891</v>
      </c>
      <c r="W170">
        <v>39.9</v>
      </c>
      <c r="X170">
        <v>8.9600000000000009</v>
      </c>
      <c r="Y170">
        <v>26.7</v>
      </c>
      <c r="Z170">
        <v>0</v>
      </c>
      <c r="AA170">
        <v>0</v>
      </c>
      <c r="AB170">
        <v>5</v>
      </c>
      <c r="AC170">
        <v>0</v>
      </c>
      <c r="AD170">
        <f t="shared" ca="1" si="2"/>
        <v>11</v>
      </c>
      <c r="AE170">
        <f>AVERAGE(Table1[[#This Row],[Runs Conceded]]/Table1[[#This Row],[Wickets Taken]])</f>
        <v>39.9</v>
      </c>
    </row>
    <row r="171" spans="1:31" x14ac:dyDescent="0.3">
      <c r="A171" t="s">
        <v>161</v>
      </c>
      <c r="B171" t="s">
        <v>180</v>
      </c>
      <c r="C171" t="s">
        <v>28</v>
      </c>
      <c r="D171">
        <v>9</v>
      </c>
      <c r="E171">
        <v>2</v>
      </c>
      <c r="F171">
        <v>1</v>
      </c>
      <c r="G171">
        <v>9</v>
      </c>
      <c r="H171" t="s">
        <v>57</v>
      </c>
      <c r="I171">
        <v>9</v>
      </c>
      <c r="J171">
        <v>5</v>
      </c>
      <c r="K171">
        <v>180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9</v>
      </c>
      <c r="R171">
        <v>26</v>
      </c>
      <c r="S171">
        <v>0</v>
      </c>
      <c r="T171">
        <v>234</v>
      </c>
      <c r="U171">
        <v>10</v>
      </c>
      <c r="V171" s="1">
        <v>46813</v>
      </c>
      <c r="W171">
        <v>23.4</v>
      </c>
      <c r="X171">
        <v>9</v>
      </c>
      <c r="Y171">
        <v>15.6</v>
      </c>
      <c r="Z171">
        <v>0</v>
      </c>
      <c r="AA171">
        <v>0</v>
      </c>
      <c r="AB171">
        <v>1</v>
      </c>
      <c r="AC171">
        <v>0</v>
      </c>
      <c r="AD171">
        <f t="shared" ca="1" si="2"/>
        <v>14</v>
      </c>
      <c r="AE171">
        <f>AVERAGE(Table1[[#This Row],[Runs Conceded]]/Table1[[#This Row],[Wickets Taken]])</f>
        <v>23.4</v>
      </c>
    </row>
    <row r="172" spans="1:31" x14ac:dyDescent="0.3">
      <c r="A172" t="s">
        <v>161</v>
      </c>
      <c r="B172" t="s">
        <v>180</v>
      </c>
      <c r="C172" t="s">
        <v>30</v>
      </c>
      <c r="D172">
        <v>14</v>
      </c>
      <c r="E172">
        <v>4</v>
      </c>
      <c r="F172">
        <v>4</v>
      </c>
      <c r="G172">
        <v>10</v>
      </c>
      <c r="H172" t="s">
        <v>113</v>
      </c>
      <c r="I172" t="s">
        <v>37</v>
      </c>
      <c r="J172">
        <v>13</v>
      </c>
      <c r="K172">
        <v>76.92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14</v>
      </c>
      <c r="R172">
        <v>48.3</v>
      </c>
      <c r="S172">
        <v>0</v>
      </c>
      <c r="T172">
        <v>410</v>
      </c>
      <c r="U172">
        <v>17</v>
      </c>
      <c r="V172" s="1">
        <v>12145</v>
      </c>
      <c r="W172">
        <v>24.11</v>
      </c>
      <c r="X172">
        <v>8.4499999999999993</v>
      </c>
      <c r="Y172">
        <v>17.100000000000001</v>
      </c>
      <c r="Z172">
        <v>1</v>
      </c>
      <c r="AA172">
        <v>0</v>
      </c>
      <c r="AB172">
        <v>4</v>
      </c>
      <c r="AC172">
        <v>0</v>
      </c>
      <c r="AD172">
        <f t="shared" ca="1" si="2"/>
        <v>16</v>
      </c>
      <c r="AE172">
        <f>AVERAGE(Table1[[#This Row],[Runs Conceded]]/Table1[[#This Row],[Wickets Taken]])</f>
        <v>24.117647058823529</v>
      </c>
    </row>
    <row r="173" spans="1:31" x14ac:dyDescent="0.3">
      <c r="A173" t="s">
        <v>161</v>
      </c>
      <c r="B173" t="s">
        <v>181</v>
      </c>
      <c r="C173" t="s">
        <v>28</v>
      </c>
      <c r="D173">
        <v>4</v>
      </c>
      <c r="E173">
        <v>3</v>
      </c>
      <c r="F173">
        <v>0</v>
      </c>
      <c r="G173">
        <v>24</v>
      </c>
      <c r="H173">
        <v>10</v>
      </c>
      <c r="I173">
        <v>8</v>
      </c>
      <c r="J173">
        <v>24</v>
      </c>
      <c r="K173">
        <v>100</v>
      </c>
      <c r="L173">
        <v>0</v>
      </c>
      <c r="M173">
        <v>0</v>
      </c>
      <c r="N173">
        <v>0</v>
      </c>
      <c r="O173">
        <v>1</v>
      </c>
      <c r="P173">
        <v>1</v>
      </c>
      <c r="Q173">
        <v>3</v>
      </c>
      <c r="R173">
        <v>6</v>
      </c>
      <c r="S173">
        <v>0</v>
      </c>
      <c r="T173">
        <v>59</v>
      </c>
      <c r="U173">
        <v>1</v>
      </c>
      <c r="V173" s="1">
        <v>43831</v>
      </c>
      <c r="W173">
        <v>59</v>
      </c>
      <c r="X173">
        <v>9.83</v>
      </c>
      <c r="Y173">
        <v>36</v>
      </c>
      <c r="Z173">
        <v>0</v>
      </c>
      <c r="AA173">
        <v>0</v>
      </c>
      <c r="AB173">
        <v>0</v>
      </c>
      <c r="AC173">
        <v>0</v>
      </c>
      <c r="AD173">
        <f t="shared" ca="1" si="2"/>
        <v>12</v>
      </c>
      <c r="AE173">
        <f>AVERAGE(Table1[[#This Row],[Runs Conceded]]/Table1[[#This Row],[Wickets Taken]])</f>
        <v>59</v>
      </c>
    </row>
    <row r="174" spans="1:31" x14ac:dyDescent="0.3">
      <c r="A174" t="s">
        <v>161</v>
      </c>
      <c r="B174" t="s">
        <v>182</v>
      </c>
      <c r="C174" t="s">
        <v>28</v>
      </c>
      <c r="D174">
        <v>11</v>
      </c>
      <c r="E174">
        <v>4</v>
      </c>
      <c r="F174">
        <v>3</v>
      </c>
      <c r="G174">
        <v>7</v>
      </c>
      <c r="H174">
        <v>4</v>
      </c>
      <c r="I174">
        <v>7</v>
      </c>
      <c r="J174">
        <v>13</v>
      </c>
      <c r="K174">
        <v>53.84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11</v>
      </c>
      <c r="R174">
        <v>42.4</v>
      </c>
      <c r="S174">
        <v>0</v>
      </c>
      <c r="T174">
        <v>304</v>
      </c>
      <c r="U174">
        <v>11</v>
      </c>
      <c r="V174" s="1">
        <v>46082</v>
      </c>
      <c r="W174">
        <v>27.63</v>
      </c>
      <c r="X174">
        <v>7.12</v>
      </c>
      <c r="Y174">
        <v>23.2</v>
      </c>
      <c r="Z174">
        <v>0</v>
      </c>
      <c r="AA174">
        <v>0</v>
      </c>
      <c r="AB174">
        <v>2</v>
      </c>
      <c r="AC174">
        <v>0</v>
      </c>
      <c r="AD174">
        <f t="shared" ca="1" si="2"/>
        <v>13</v>
      </c>
      <c r="AE174">
        <f>AVERAGE(Table1[[#This Row],[Runs Conceded]]/Table1[[#This Row],[Wickets Taken]])</f>
        <v>27.636363636363637</v>
      </c>
    </row>
    <row r="175" spans="1:31" x14ac:dyDescent="0.3">
      <c r="A175" t="s">
        <v>161</v>
      </c>
      <c r="B175" t="s">
        <v>182</v>
      </c>
      <c r="C175" t="s">
        <v>30</v>
      </c>
      <c r="D175">
        <v>16</v>
      </c>
      <c r="E175">
        <v>14</v>
      </c>
      <c r="F175">
        <v>1</v>
      </c>
      <c r="G175">
        <v>224</v>
      </c>
      <c r="H175">
        <v>54</v>
      </c>
      <c r="I175">
        <v>17.23</v>
      </c>
      <c r="J175">
        <v>130</v>
      </c>
      <c r="K175">
        <v>172.3</v>
      </c>
      <c r="L175">
        <v>0</v>
      </c>
      <c r="M175">
        <v>1</v>
      </c>
      <c r="N175">
        <v>2</v>
      </c>
      <c r="O175">
        <v>34</v>
      </c>
      <c r="P175">
        <v>10</v>
      </c>
      <c r="Q175">
        <v>15</v>
      </c>
      <c r="R175">
        <v>59</v>
      </c>
      <c r="S175">
        <v>0</v>
      </c>
      <c r="T175">
        <v>412</v>
      </c>
      <c r="U175">
        <v>10</v>
      </c>
      <c r="V175" s="1">
        <v>47150</v>
      </c>
      <c r="W175">
        <v>41.2</v>
      </c>
      <c r="X175">
        <v>6.98</v>
      </c>
      <c r="Y175">
        <v>35.4</v>
      </c>
      <c r="Z175">
        <v>0</v>
      </c>
      <c r="AA175">
        <v>0</v>
      </c>
      <c r="AB175">
        <v>4</v>
      </c>
      <c r="AC175">
        <v>0</v>
      </c>
      <c r="AD175">
        <f t="shared" ca="1" si="2"/>
        <v>11</v>
      </c>
      <c r="AE175">
        <f>AVERAGE(Table1[[#This Row],[Runs Conceded]]/Table1[[#This Row],[Wickets Taken]])</f>
        <v>41.2</v>
      </c>
    </row>
    <row r="176" spans="1:31" x14ac:dyDescent="0.3">
      <c r="A176" t="s">
        <v>161</v>
      </c>
      <c r="B176" t="s">
        <v>182</v>
      </c>
      <c r="C176" t="s">
        <v>32</v>
      </c>
      <c r="D176">
        <v>16</v>
      </c>
      <c r="E176">
        <v>16</v>
      </c>
      <c r="F176">
        <v>0</v>
      </c>
      <c r="G176">
        <v>357</v>
      </c>
      <c r="H176">
        <v>75</v>
      </c>
      <c r="I176">
        <v>22.31</v>
      </c>
      <c r="J176">
        <v>188</v>
      </c>
      <c r="K176">
        <v>189.89</v>
      </c>
      <c r="L176">
        <v>0</v>
      </c>
      <c r="M176">
        <v>2</v>
      </c>
      <c r="N176">
        <v>0</v>
      </c>
      <c r="O176">
        <v>40</v>
      </c>
      <c r="P176">
        <v>23</v>
      </c>
      <c r="Q176">
        <v>16</v>
      </c>
      <c r="R176">
        <v>61</v>
      </c>
      <c r="S176">
        <v>0</v>
      </c>
      <c r="T176">
        <v>467</v>
      </c>
      <c r="U176">
        <v>17</v>
      </c>
      <c r="V176" s="1">
        <v>43160</v>
      </c>
      <c r="W176">
        <v>27.47</v>
      </c>
      <c r="X176">
        <v>7.65</v>
      </c>
      <c r="Y176">
        <v>21.5</v>
      </c>
      <c r="Z176">
        <v>0</v>
      </c>
      <c r="AA176">
        <v>0</v>
      </c>
      <c r="AB176">
        <v>1</v>
      </c>
      <c r="AC176">
        <v>0</v>
      </c>
      <c r="AD176">
        <f t="shared" ca="1" si="2"/>
        <v>9</v>
      </c>
      <c r="AE176">
        <f>AVERAGE(Table1[[#This Row],[Runs Conceded]]/Table1[[#This Row],[Wickets Taken]])</f>
        <v>27.470588235294116</v>
      </c>
    </row>
    <row r="177" spans="1:31" x14ac:dyDescent="0.3">
      <c r="A177" t="s">
        <v>161</v>
      </c>
      <c r="B177" t="s">
        <v>182</v>
      </c>
      <c r="C177" t="s">
        <v>92</v>
      </c>
      <c r="D177">
        <v>12</v>
      </c>
      <c r="E177">
        <v>9</v>
      </c>
      <c r="F177">
        <v>1</v>
      </c>
      <c r="G177">
        <v>143</v>
      </c>
      <c r="H177">
        <v>47</v>
      </c>
      <c r="I177">
        <v>17.87</v>
      </c>
      <c r="J177">
        <v>86</v>
      </c>
      <c r="K177">
        <v>166.27</v>
      </c>
      <c r="L177">
        <v>0</v>
      </c>
      <c r="M177">
        <v>0</v>
      </c>
      <c r="N177">
        <v>0</v>
      </c>
      <c r="O177">
        <v>17</v>
      </c>
      <c r="P177">
        <v>9</v>
      </c>
      <c r="Q177">
        <v>12</v>
      </c>
      <c r="R177">
        <v>44.2</v>
      </c>
      <c r="S177">
        <v>1</v>
      </c>
      <c r="T177">
        <v>347</v>
      </c>
      <c r="U177">
        <v>10</v>
      </c>
      <c r="V177" s="1">
        <v>43497</v>
      </c>
      <c r="W177">
        <v>34.700000000000003</v>
      </c>
      <c r="X177">
        <v>7.82</v>
      </c>
      <c r="Y177">
        <v>26.6</v>
      </c>
      <c r="Z177">
        <v>0</v>
      </c>
      <c r="AA177">
        <v>0</v>
      </c>
      <c r="AB177">
        <v>0</v>
      </c>
      <c r="AC177">
        <v>0</v>
      </c>
      <c r="AD177">
        <f t="shared" ca="1" si="2"/>
        <v>15</v>
      </c>
      <c r="AE177">
        <f>AVERAGE(Table1[[#This Row],[Runs Conceded]]/Table1[[#This Row],[Wickets Taken]])</f>
        <v>34.700000000000003</v>
      </c>
    </row>
    <row r="178" spans="1:31" x14ac:dyDescent="0.3">
      <c r="A178" t="s">
        <v>161</v>
      </c>
      <c r="B178" t="s">
        <v>183</v>
      </c>
      <c r="C178" t="s">
        <v>28</v>
      </c>
      <c r="D178">
        <v>4</v>
      </c>
      <c r="E178">
        <v>4</v>
      </c>
      <c r="F178">
        <v>0</v>
      </c>
      <c r="G178">
        <v>22</v>
      </c>
      <c r="H178">
        <v>13</v>
      </c>
      <c r="I178">
        <v>5.5</v>
      </c>
      <c r="J178">
        <v>19</v>
      </c>
      <c r="K178">
        <v>115.78</v>
      </c>
      <c r="L178">
        <v>0</v>
      </c>
      <c r="M178">
        <v>0</v>
      </c>
      <c r="N178">
        <v>1</v>
      </c>
      <c r="O178">
        <v>2</v>
      </c>
      <c r="P178">
        <v>1</v>
      </c>
      <c r="Q178">
        <v>4</v>
      </c>
      <c r="R178">
        <v>13</v>
      </c>
      <c r="S178">
        <v>0</v>
      </c>
      <c r="T178">
        <v>103</v>
      </c>
      <c r="U178">
        <v>2</v>
      </c>
      <c r="V178" s="1">
        <v>12086</v>
      </c>
      <c r="W178">
        <v>51.5</v>
      </c>
      <c r="X178">
        <v>7.92</v>
      </c>
      <c r="Y178">
        <v>39</v>
      </c>
      <c r="Z178">
        <v>0</v>
      </c>
      <c r="AA178">
        <v>0</v>
      </c>
      <c r="AB178">
        <v>0</v>
      </c>
      <c r="AC178">
        <v>0</v>
      </c>
      <c r="AD178">
        <f t="shared" ca="1" si="2"/>
        <v>10</v>
      </c>
      <c r="AE178">
        <f>AVERAGE(Table1[[#This Row],[Runs Conceded]]/Table1[[#This Row],[Wickets Taken]])</f>
        <v>51.5</v>
      </c>
    </row>
    <row r="179" spans="1:31" x14ac:dyDescent="0.3">
      <c r="A179" t="s">
        <v>161</v>
      </c>
      <c r="B179" t="s">
        <v>184</v>
      </c>
      <c r="C179" t="s">
        <v>28</v>
      </c>
      <c r="D179">
        <v>10</v>
      </c>
      <c r="E179">
        <v>2</v>
      </c>
      <c r="F179">
        <v>2</v>
      </c>
      <c r="G179">
        <v>1</v>
      </c>
      <c r="H179" t="s">
        <v>55</v>
      </c>
      <c r="I179" t="s">
        <v>37</v>
      </c>
      <c r="J179">
        <v>1</v>
      </c>
      <c r="K179">
        <v>100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10</v>
      </c>
      <c r="R179">
        <v>35.299999999999997</v>
      </c>
      <c r="S179">
        <v>0</v>
      </c>
      <c r="T179">
        <v>297</v>
      </c>
      <c r="U179">
        <v>10</v>
      </c>
      <c r="V179" s="1">
        <v>46419</v>
      </c>
      <c r="W179">
        <v>29.7</v>
      </c>
      <c r="X179">
        <v>8.36</v>
      </c>
      <c r="Y179">
        <v>21.3</v>
      </c>
      <c r="Z179">
        <v>0</v>
      </c>
      <c r="AA179">
        <v>0</v>
      </c>
      <c r="AB179">
        <v>0</v>
      </c>
      <c r="AC179">
        <v>0</v>
      </c>
      <c r="AD179">
        <f t="shared" ca="1" si="2"/>
        <v>10</v>
      </c>
      <c r="AE179">
        <f>AVERAGE(Table1[[#This Row],[Runs Conceded]]/Table1[[#This Row],[Wickets Taken]])</f>
        <v>29.7</v>
      </c>
    </row>
    <row r="180" spans="1:31" x14ac:dyDescent="0.3">
      <c r="A180" t="s">
        <v>161</v>
      </c>
      <c r="B180" t="s">
        <v>185</v>
      </c>
      <c r="C180" t="s">
        <v>28</v>
      </c>
      <c r="D180">
        <v>5</v>
      </c>
      <c r="E180">
        <v>1</v>
      </c>
      <c r="F180">
        <v>1</v>
      </c>
      <c r="G180">
        <v>0</v>
      </c>
      <c r="H180" t="s">
        <v>148</v>
      </c>
      <c r="I180" t="s">
        <v>37</v>
      </c>
      <c r="J180">
        <v>0</v>
      </c>
      <c r="K180" t="s">
        <v>37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5</v>
      </c>
      <c r="R180">
        <v>16</v>
      </c>
      <c r="S180">
        <v>1</v>
      </c>
      <c r="T180">
        <v>142</v>
      </c>
      <c r="U180">
        <v>4</v>
      </c>
      <c r="V180" s="1">
        <v>43525</v>
      </c>
      <c r="W180">
        <v>35.5</v>
      </c>
      <c r="X180">
        <v>8.8699999999999992</v>
      </c>
      <c r="Y180">
        <v>24</v>
      </c>
      <c r="Z180">
        <v>0</v>
      </c>
      <c r="AA180">
        <v>0</v>
      </c>
      <c r="AB180">
        <v>3</v>
      </c>
      <c r="AC180">
        <v>0</v>
      </c>
      <c r="AD180">
        <f t="shared" ca="1" si="2"/>
        <v>15</v>
      </c>
      <c r="AE180">
        <f>AVERAGE(Table1[[#This Row],[Runs Conceded]]/Table1[[#This Row],[Wickets Taken]])</f>
        <v>35.5</v>
      </c>
    </row>
    <row r="181" spans="1:31" x14ac:dyDescent="0.3">
      <c r="A181" t="s">
        <v>161</v>
      </c>
      <c r="B181" t="s">
        <v>186</v>
      </c>
      <c r="C181" t="s">
        <v>28</v>
      </c>
      <c r="D181">
        <v>2</v>
      </c>
      <c r="E181" t="s">
        <v>37</v>
      </c>
      <c r="F181" t="s">
        <v>37</v>
      </c>
      <c r="G181" t="s">
        <v>37</v>
      </c>
      <c r="H181" t="s">
        <v>37</v>
      </c>
      <c r="I181" t="s">
        <v>37</v>
      </c>
      <c r="J181" t="s">
        <v>37</v>
      </c>
      <c r="K181" t="s">
        <v>37</v>
      </c>
      <c r="L181" t="s">
        <v>37</v>
      </c>
      <c r="M181" t="s">
        <v>37</v>
      </c>
      <c r="N181" t="s">
        <v>37</v>
      </c>
      <c r="O181" t="s">
        <v>37</v>
      </c>
      <c r="P181" t="s">
        <v>37</v>
      </c>
      <c r="Q181">
        <v>2</v>
      </c>
      <c r="R181">
        <v>6.4</v>
      </c>
      <c r="S181">
        <v>1</v>
      </c>
      <c r="T181">
        <v>37</v>
      </c>
      <c r="U181">
        <v>2</v>
      </c>
      <c r="V181" s="2">
        <v>43984</v>
      </c>
      <c r="W181">
        <v>18.5</v>
      </c>
      <c r="X181">
        <v>5.55</v>
      </c>
      <c r="Y181">
        <v>20</v>
      </c>
      <c r="Z181">
        <v>0</v>
      </c>
      <c r="AA181">
        <v>0</v>
      </c>
      <c r="AB181">
        <v>0</v>
      </c>
      <c r="AC181">
        <v>0</v>
      </c>
      <c r="AD181">
        <f t="shared" ca="1" si="2"/>
        <v>15</v>
      </c>
      <c r="AE181">
        <f>AVERAGE(Table1[[#This Row],[Runs Conceded]]/Table1[[#This Row],[Wickets Taken]])</f>
        <v>18.5</v>
      </c>
    </row>
    <row r="182" spans="1:31" x14ac:dyDescent="0.3">
      <c r="A182" t="s">
        <v>161</v>
      </c>
      <c r="B182" t="s">
        <v>187</v>
      </c>
      <c r="C182" t="s">
        <v>28</v>
      </c>
      <c r="D182">
        <v>3</v>
      </c>
      <c r="E182" t="s">
        <v>37</v>
      </c>
      <c r="F182" t="s">
        <v>37</v>
      </c>
      <c r="G182" t="s">
        <v>37</v>
      </c>
      <c r="H182" t="s">
        <v>37</v>
      </c>
      <c r="I182" t="s">
        <v>37</v>
      </c>
      <c r="J182" t="s">
        <v>37</v>
      </c>
      <c r="K182" t="s">
        <v>37</v>
      </c>
      <c r="L182" t="s">
        <v>37</v>
      </c>
      <c r="M182" t="s">
        <v>37</v>
      </c>
      <c r="N182" t="s">
        <v>37</v>
      </c>
      <c r="O182" t="s">
        <v>37</v>
      </c>
      <c r="P182" t="s">
        <v>37</v>
      </c>
      <c r="Q182">
        <v>3</v>
      </c>
      <c r="R182">
        <v>12</v>
      </c>
      <c r="S182">
        <v>0</v>
      </c>
      <c r="T182">
        <v>100</v>
      </c>
      <c r="U182">
        <v>6</v>
      </c>
      <c r="V182" s="1">
        <v>12844</v>
      </c>
      <c r="W182">
        <v>16.66</v>
      </c>
      <c r="X182">
        <v>8.33</v>
      </c>
      <c r="Y182">
        <v>12</v>
      </c>
      <c r="Z182">
        <v>0</v>
      </c>
      <c r="AA182">
        <v>0</v>
      </c>
      <c r="AB182">
        <v>1</v>
      </c>
      <c r="AC182">
        <v>0</v>
      </c>
      <c r="AD182">
        <f t="shared" ca="1" si="2"/>
        <v>17</v>
      </c>
      <c r="AE182">
        <f>AVERAGE(Table1[[#This Row],[Runs Conceded]]/Table1[[#This Row],[Wickets Taken]])</f>
        <v>16.666666666666668</v>
      </c>
    </row>
    <row r="183" spans="1:31" x14ac:dyDescent="0.3">
      <c r="A183" t="s">
        <v>161</v>
      </c>
      <c r="B183" t="s">
        <v>187</v>
      </c>
      <c r="C183" t="s">
        <v>30</v>
      </c>
      <c r="D183">
        <v>12</v>
      </c>
      <c r="E183">
        <v>2</v>
      </c>
      <c r="F183">
        <v>0</v>
      </c>
      <c r="G183">
        <v>20</v>
      </c>
      <c r="H183">
        <v>16</v>
      </c>
      <c r="I183">
        <v>10</v>
      </c>
      <c r="J183">
        <v>22</v>
      </c>
      <c r="K183">
        <v>90.9</v>
      </c>
      <c r="L183">
        <v>0</v>
      </c>
      <c r="M183">
        <v>0</v>
      </c>
      <c r="N183">
        <v>0</v>
      </c>
      <c r="O183">
        <v>2</v>
      </c>
      <c r="P183">
        <v>0</v>
      </c>
      <c r="Q183">
        <v>11</v>
      </c>
      <c r="R183">
        <v>41</v>
      </c>
      <c r="S183">
        <v>0</v>
      </c>
      <c r="T183">
        <v>340</v>
      </c>
      <c r="U183">
        <v>12</v>
      </c>
      <c r="V183" s="1">
        <v>45689</v>
      </c>
      <c r="W183">
        <v>28.33</v>
      </c>
      <c r="X183">
        <v>8.2899999999999991</v>
      </c>
      <c r="Y183">
        <v>20.5</v>
      </c>
      <c r="Z183">
        <v>0</v>
      </c>
      <c r="AA183">
        <v>0</v>
      </c>
      <c r="AB183">
        <v>1</v>
      </c>
      <c r="AC183">
        <v>0</v>
      </c>
      <c r="AD183">
        <f t="shared" ca="1" si="2"/>
        <v>12</v>
      </c>
      <c r="AE183">
        <f>AVERAGE(Table1[[#This Row],[Runs Conceded]]/Table1[[#This Row],[Wickets Taken]])</f>
        <v>28.333333333333332</v>
      </c>
    </row>
    <row r="184" spans="1:31" x14ac:dyDescent="0.3">
      <c r="A184" t="s">
        <v>161</v>
      </c>
      <c r="B184" t="s">
        <v>187</v>
      </c>
      <c r="C184" t="s">
        <v>32</v>
      </c>
      <c r="D184">
        <v>16</v>
      </c>
      <c r="E184">
        <v>3</v>
      </c>
      <c r="F184">
        <v>2</v>
      </c>
      <c r="G184">
        <v>12</v>
      </c>
      <c r="H184" t="s">
        <v>57</v>
      </c>
      <c r="I184">
        <v>12</v>
      </c>
      <c r="J184">
        <v>24</v>
      </c>
      <c r="K184">
        <v>50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16</v>
      </c>
      <c r="R184">
        <v>51.2</v>
      </c>
      <c r="S184">
        <v>0</v>
      </c>
      <c r="T184">
        <v>418</v>
      </c>
      <c r="U184">
        <v>17</v>
      </c>
      <c r="V184" s="1">
        <v>43922</v>
      </c>
      <c r="W184">
        <v>24.58</v>
      </c>
      <c r="X184">
        <v>8.14</v>
      </c>
      <c r="Y184">
        <v>18.100000000000001</v>
      </c>
      <c r="Z184">
        <v>1</v>
      </c>
      <c r="AA184">
        <v>0</v>
      </c>
      <c r="AB184">
        <v>6</v>
      </c>
      <c r="AC184">
        <v>0</v>
      </c>
      <c r="AD184">
        <f t="shared" ca="1" si="2"/>
        <v>6</v>
      </c>
      <c r="AE184">
        <f>AVERAGE(Table1[[#This Row],[Runs Conceded]]/Table1[[#This Row],[Wickets Taken]])</f>
        <v>24.588235294117649</v>
      </c>
    </row>
    <row r="185" spans="1:31" x14ac:dyDescent="0.3">
      <c r="A185" t="s">
        <v>161</v>
      </c>
      <c r="B185" t="s">
        <v>187</v>
      </c>
      <c r="C185" t="s">
        <v>92</v>
      </c>
      <c r="D185">
        <v>9</v>
      </c>
      <c r="E185">
        <v>4</v>
      </c>
      <c r="F185">
        <v>2</v>
      </c>
      <c r="G185">
        <v>12</v>
      </c>
      <c r="H185" t="s">
        <v>151</v>
      </c>
      <c r="I185">
        <v>6</v>
      </c>
      <c r="J185">
        <v>8</v>
      </c>
      <c r="K185">
        <v>150</v>
      </c>
      <c r="L185">
        <v>0</v>
      </c>
      <c r="M185">
        <v>0</v>
      </c>
      <c r="N185">
        <v>2</v>
      </c>
      <c r="O185">
        <v>1</v>
      </c>
      <c r="P185">
        <v>0</v>
      </c>
      <c r="Q185">
        <v>9</v>
      </c>
      <c r="R185">
        <v>33</v>
      </c>
      <c r="S185">
        <v>0</v>
      </c>
      <c r="T185">
        <v>286</v>
      </c>
      <c r="U185">
        <v>4</v>
      </c>
      <c r="V185" s="1">
        <v>15008</v>
      </c>
      <c r="W185">
        <v>71.5</v>
      </c>
      <c r="X185">
        <v>8.66</v>
      </c>
      <c r="Y185">
        <v>49.5</v>
      </c>
      <c r="Z185">
        <v>0</v>
      </c>
      <c r="AA185">
        <v>0</v>
      </c>
      <c r="AB185">
        <v>3</v>
      </c>
      <c r="AC185">
        <v>0</v>
      </c>
      <c r="AD185">
        <f t="shared" ca="1" si="2"/>
        <v>9</v>
      </c>
      <c r="AE185">
        <f>AVERAGE(Table1[[#This Row],[Runs Conceded]]/Table1[[#This Row],[Wickets Taken]])</f>
        <v>71.5</v>
      </c>
    </row>
    <row r="186" spans="1:31" x14ac:dyDescent="0.3">
      <c r="A186" t="s">
        <v>161</v>
      </c>
      <c r="B186" t="s">
        <v>123</v>
      </c>
      <c r="C186" t="s">
        <v>28</v>
      </c>
      <c r="D186">
        <v>4</v>
      </c>
      <c r="E186" t="s">
        <v>37</v>
      </c>
      <c r="F186" t="s">
        <v>37</v>
      </c>
      <c r="G186" t="s">
        <v>37</v>
      </c>
      <c r="H186" t="s">
        <v>37</v>
      </c>
      <c r="I186" t="s">
        <v>37</v>
      </c>
      <c r="J186" t="s">
        <v>37</v>
      </c>
      <c r="K186" t="s">
        <v>37</v>
      </c>
      <c r="L186" t="s">
        <v>37</v>
      </c>
      <c r="M186" t="s">
        <v>37</v>
      </c>
      <c r="N186" t="s">
        <v>37</v>
      </c>
      <c r="O186" t="s">
        <v>37</v>
      </c>
      <c r="P186" t="s">
        <v>37</v>
      </c>
      <c r="Q186">
        <v>4</v>
      </c>
      <c r="R186">
        <v>11</v>
      </c>
      <c r="S186">
        <v>0</v>
      </c>
      <c r="T186">
        <v>98</v>
      </c>
      <c r="U186">
        <v>3</v>
      </c>
      <c r="V186" s="1">
        <v>41640</v>
      </c>
      <c r="W186">
        <v>32.659999999999997</v>
      </c>
      <c r="X186">
        <v>8.9</v>
      </c>
      <c r="Y186">
        <v>22</v>
      </c>
      <c r="Z186">
        <v>0</v>
      </c>
      <c r="AA186">
        <v>0</v>
      </c>
      <c r="AB186">
        <v>0</v>
      </c>
      <c r="AC186">
        <v>0</v>
      </c>
      <c r="AD186">
        <f t="shared" ca="1" si="2"/>
        <v>12</v>
      </c>
      <c r="AE186">
        <f>AVERAGE(Table1[[#This Row],[Runs Conceded]]/Table1[[#This Row],[Wickets Taken]])</f>
        <v>32.666666666666664</v>
      </c>
    </row>
    <row r="187" spans="1:31" x14ac:dyDescent="0.3">
      <c r="A187" t="s">
        <v>161</v>
      </c>
      <c r="B187" t="s">
        <v>123</v>
      </c>
      <c r="C187" t="s">
        <v>30</v>
      </c>
      <c r="D187">
        <v>5</v>
      </c>
      <c r="E187">
        <v>1</v>
      </c>
      <c r="F187">
        <v>0</v>
      </c>
      <c r="G187">
        <v>4</v>
      </c>
      <c r="H187">
        <v>4</v>
      </c>
      <c r="I187">
        <v>4</v>
      </c>
      <c r="J187">
        <v>7</v>
      </c>
      <c r="K187">
        <v>57.14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5</v>
      </c>
      <c r="R187">
        <v>14</v>
      </c>
      <c r="S187">
        <v>0</v>
      </c>
      <c r="T187">
        <v>107</v>
      </c>
      <c r="U187">
        <v>4</v>
      </c>
      <c r="V187" s="1">
        <v>13575</v>
      </c>
      <c r="W187">
        <v>26.75</v>
      </c>
      <c r="X187">
        <v>7.64</v>
      </c>
      <c r="Y187">
        <v>21</v>
      </c>
      <c r="Z187">
        <v>0</v>
      </c>
      <c r="AA187">
        <v>0</v>
      </c>
      <c r="AB187">
        <v>1</v>
      </c>
      <c r="AC187">
        <v>0</v>
      </c>
      <c r="AD187">
        <f t="shared" ca="1" si="2"/>
        <v>14</v>
      </c>
      <c r="AE187">
        <f>AVERAGE(Table1[[#This Row],[Runs Conceded]]/Table1[[#This Row],[Wickets Taken]])</f>
        <v>26.75</v>
      </c>
    </row>
    <row r="188" spans="1:31" x14ac:dyDescent="0.3">
      <c r="A188" t="s">
        <v>161</v>
      </c>
      <c r="B188" t="s">
        <v>188</v>
      </c>
      <c r="C188" t="s">
        <v>28</v>
      </c>
      <c r="D188">
        <v>1</v>
      </c>
      <c r="E188" t="s">
        <v>37</v>
      </c>
      <c r="F188" t="s">
        <v>37</v>
      </c>
      <c r="G188" t="s">
        <v>37</v>
      </c>
      <c r="H188" t="s">
        <v>37</v>
      </c>
      <c r="I188" t="s">
        <v>37</v>
      </c>
      <c r="J188" t="s">
        <v>37</v>
      </c>
      <c r="K188" t="s">
        <v>37</v>
      </c>
      <c r="L188" t="s">
        <v>37</v>
      </c>
      <c r="M188" t="s">
        <v>37</v>
      </c>
      <c r="N188" t="s">
        <v>37</v>
      </c>
      <c r="O188" t="s">
        <v>37</v>
      </c>
      <c r="P188" t="s">
        <v>37</v>
      </c>
      <c r="Q188">
        <v>1</v>
      </c>
      <c r="R188">
        <v>3</v>
      </c>
      <c r="S188">
        <v>0</v>
      </c>
      <c r="T188">
        <v>49</v>
      </c>
      <c r="U188">
        <v>0</v>
      </c>
      <c r="V188" t="s">
        <v>37</v>
      </c>
      <c r="W188" t="s">
        <v>37</v>
      </c>
      <c r="X188">
        <v>16.329999999999998</v>
      </c>
      <c r="Y188" t="s">
        <v>37</v>
      </c>
      <c r="Z188">
        <v>0</v>
      </c>
      <c r="AA188">
        <v>0</v>
      </c>
      <c r="AB188">
        <v>0</v>
      </c>
      <c r="AC188">
        <v>0</v>
      </c>
      <c r="AD188">
        <f t="shared" ca="1" si="2"/>
        <v>3</v>
      </c>
      <c r="AE188" t="e">
        <f>AVERAGE(Table1[[#This Row],[Runs Conceded]]/Table1[[#This Row],[Wickets Taken]])</f>
        <v>#DIV/0!</v>
      </c>
    </row>
    <row r="189" spans="1:31" x14ac:dyDescent="0.3">
      <c r="A189" t="s">
        <v>161</v>
      </c>
      <c r="B189" t="s">
        <v>189</v>
      </c>
      <c r="C189" t="s">
        <v>32</v>
      </c>
      <c r="D189">
        <v>15</v>
      </c>
      <c r="E189">
        <v>15</v>
      </c>
      <c r="F189">
        <v>2</v>
      </c>
      <c r="G189">
        <v>304</v>
      </c>
      <c r="H189">
        <v>59</v>
      </c>
      <c r="I189">
        <v>23.38</v>
      </c>
      <c r="J189">
        <v>232</v>
      </c>
      <c r="K189">
        <v>131.03</v>
      </c>
      <c r="L189">
        <v>0</v>
      </c>
      <c r="M189">
        <v>1</v>
      </c>
      <c r="N189">
        <v>0</v>
      </c>
      <c r="O189">
        <v>26</v>
      </c>
      <c r="P189">
        <v>14</v>
      </c>
      <c r="Q189">
        <v>5</v>
      </c>
      <c r="R189">
        <v>6.1</v>
      </c>
      <c r="S189">
        <v>0</v>
      </c>
      <c r="T189">
        <v>44</v>
      </c>
      <c r="U189">
        <v>4</v>
      </c>
      <c r="V189" s="2">
        <v>44137</v>
      </c>
      <c r="W189">
        <v>11</v>
      </c>
      <c r="X189">
        <v>7.13</v>
      </c>
      <c r="Y189">
        <v>9.1999999999999993</v>
      </c>
      <c r="Z189">
        <v>0</v>
      </c>
      <c r="AA189">
        <v>0</v>
      </c>
      <c r="AB189">
        <v>2</v>
      </c>
      <c r="AC189">
        <v>0</v>
      </c>
      <c r="AD189">
        <f t="shared" ca="1" si="2"/>
        <v>6</v>
      </c>
      <c r="AE189">
        <f>AVERAGE(Table1[[#This Row],[Runs Conceded]]/Table1[[#This Row],[Wickets Taken]])</f>
        <v>11</v>
      </c>
    </row>
    <row r="190" spans="1:31" x14ac:dyDescent="0.3">
      <c r="A190" t="s">
        <v>161</v>
      </c>
      <c r="B190" t="s">
        <v>189</v>
      </c>
      <c r="C190" t="s">
        <v>92</v>
      </c>
      <c r="D190">
        <v>14</v>
      </c>
      <c r="E190">
        <v>11</v>
      </c>
      <c r="F190">
        <v>1</v>
      </c>
      <c r="G190">
        <v>344</v>
      </c>
      <c r="H190" t="s">
        <v>190</v>
      </c>
      <c r="I190">
        <v>34.4</v>
      </c>
      <c r="J190">
        <v>235</v>
      </c>
      <c r="K190">
        <v>146.38</v>
      </c>
      <c r="L190">
        <v>0</v>
      </c>
      <c r="M190">
        <v>3</v>
      </c>
      <c r="N190">
        <v>1</v>
      </c>
      <c r="O190">
        <v>27</v>
      </c>
      <c r="P190">
        <v>21</v>
      </c>
      <c r="Q190">
        <v>6</v>
      </c>
      <c r="R190">
        <v>8</v>
      </c>
      <c r="S190">
        <v>0</v>
      </c>
      <c r="T190">
        <v>72</v>
      </c>
      <c r="U190">
        <v>3</v>
      </c>
      <c r="V190" s="2">
        <v>44044</v>
      </c>
      <c r="W190">
        <v>24</v>
      </c>
      <c r="X190">
        <v>9</v>
      </c>
      <c r="Y190">
        <v>16</v>
      </c>
      <c r="Z190">
        <v>0</v>
      </c>
      <c r="AA190">
        <v>0</v>
      </c>
      <c r="AB190">
        <v>3</v>
      </c>
      <c r="AC190">
        <v>0</v>
      </c>
      <c r="AD190">
        <f t="shared" ca="1" si="2"/>
        <v>10</v>
      </c>
      <c r="AE190">
        <f>AVERAGE(Table1[[#This Row],[Runs Conceded]]/Table1[[#This Row],[Wickets Taken]])</f>
        <v>24</v>
      </c>
    </row>
    <row r="191" spans="1:31" x14ac:dyDescent="0.3">
      <c r="A191" t="s">
        <v>161</v>
      </c>
      <c r="B191" t="s">
        <v>191</v>
      </c>
      <c r="C191" t="s">
        <v>32</v>
      </c>
      <c r="D191">
        <v>2</v>
      </c>
      <c r="E191">
        <v>1</v>
      </c>
      <c r="F191">
        <v>1</v>
      </c>
      <c r="G191">
        <v>6</v>
      </c>
      <c r="H191" t="s">
        <v>61</v>
      </c>
      <c r="I191" t="s">
        <v>37</v>
      </c>
      <c r="J191">
        <v>3</v>
      </c>
      <c r="K191">
        <v>200</v>
      </c>
      <c r="L191">
        <v>0</v>
      </c>
      <c r="M191">
        <v>0</v>
      </c>
      <c r="N191">
        <v>0</v>
      </c>
      <c r="O191">
        <v>1</v>
      </c>
      <c r="P191">
        <v>0</v>
      </c>
      <c r="Q191">
        <v>2</v>
      </c>
      <c r="R191">
        <v>3.5</v>
      </c>
      <c r="S191">
        <v>0</v>
      </c>
      <c r="T191">
        <v>65</v>
      </c>
      <c r="U191">
        <v>2</v>
      </c>
      <c r="V191" s="1">
        <v>10990</v>
      </c>
      <c r="W191">
        <v>32.5</v>
      </c>
      <c r="X191">
        <v>16.95</v>
      </c>
      <c r="Y191">
        <v>11.5</v>
      </c>
      <c r="Z191">
        <v>0</v>
      </c>
      <c r="AA191">
        <v>0</v>
      </c>
      <c r="AB191">
        <v>2</v>
      </c>
      <c r="AC191">
        <v>0</v>
      </c>
      <c r="AD191">
        <f t="shared" ca="1" si="2"/>
        <v>9</v>
      </c>
      <c r="AE191">
        <f>AVERAGE(Table1[[#This Row],[Runs Conceded]]/Table1[[#This Row],[Wickets Taken]])</f>
        <v>32.5</v>
      </c>
    </row>
    <row r="192" spans="1:31" x14ac:dyDescent="0.3">
      <c r="A192" t="s">
        <v>161</v>
      </c>
      <c r="B192" t="s">
        <v>69</v>
      </c>
      <c r="C192" t="s">
        <v>30</v>
      </c>
      <c r="D192">
        <v>6</v>
      </c>
      <c r="E192">
        <v>1</v>
      </c>
      <c r="F192">
        <v>1</v>
      </c>
      <c r="G192">
        <v>5</v>
      </c>
      <c r="H192" t="s">
        <v>121</v>
      </c>
      <c r="I192" t="s">
        <v>37</v>
      </c>
      <c r="J192">
        <v>8</v>
      </c>
      <c r="K192">
        <v>62.5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6</v>
      </c>
      <c r="R192">
        <v>23.5</v>
      </c>
      <c r="S192">
        <v>0</v>
      </c>
      <c r="T192">
        <v>216</v>
      </c>
      <c r="U192">
        <v>5</v>
      </c>
      <c r="V192" s="1">
        <v>10990</v>
      </c>
      <c r="W192">
        <v>43.2</v>
      </c>
      <c r="X192">
        <v>9.06</v>
      </c>
      <c r="Y192">
        <v>28.6</v>
      </c>
      <c r="Z192">
        <v>0</v>
      </c>
      <c r="AA192">
        <v>0</v>
      </c>
      <c r="AB192">
        <v>0</v>
      </c>
      <c r="AC192">
        <v>0</v>
      </c>
      <c r="AD192">
        <f t="shared" ca="1" si="2"/>
        <v>10</v>
      </c>
      <c r="AE192">
        <f>AVERAGE(Table1[[#This Row],[Runs Conceded]]/Table1[[#This Row],[Wickets Taken]])</f>
        <v>43.2</v>
      </c>
    </row>
    <row r="193" spans="1:31" x14ac:dyDescent="0.3">
      <c r="A193" t="s">
        <v>161</v>
      </c>
      <c r="B193" t="s">
        <v>192</v>
      </c>
      <c r="C193" t="s">
        <v>32</v>
      </c>
      <c r="D193">
        <v>16</v>
      </c>
      <c r="E193">
        <v>16</v>
      </c>
      <c r="F193">
        <v>6</v>
      </c>
      <c r="G193">
        <v>498</v>
      </c>
      <c r="H193">
        <v>52</v>
      </c>
      <c r="I193">
        <v>49.8</v>
      </c>
      <c r="J193">
        <v>337</v>
      </c>
      <c r="K193">
        <v>147.77000000000001</v>
      </c>
      <c r="L193">
        <v>0</v>
      </c>
      <c r="M193">
        <v>2</v>
      </c>
      <c r="N193">
        <v>0</v>
      </c>
      <c r="O193">
        <v>49</v>
      </c>
      <c r="P193">
        <v>16</v>
      </c>
      <c r="Q193" t="s">
        <v>37</v>
      </c>
      <c r="R193" t="s">
        <v>37</v>
      </c>
      <c r="S193" t="s">
        <v>37</v>
      </c>
      <c r="T193" t="s">
        <v>37</v>
      </c>
      <c r="U193" t="s">
        <v>37</v>
      </c>
      <c r="V193" t="s">
        <v>37</v>
      </c>
      <c r="W193" t="s">
        <v>37</v>
      </c>
      <c r="X193" t="s">
        <v>37</v>
      </c>
      <c r="Y193" t="s">
        <v>37</v>
      </c>
      <c r="Z193" t="s">
        <v>37</v>
      </c>
      <c r="AA193" t="s">
        <v>37</v>
      </c>
      <c r="AB193">
        <v>14</v>
      </c>
      <c r="AC193">
        <v>4</v>
      </c>
      <c r="AD193">
        <f t="shared" ca="1" si="2"/>
        <v>12</v>
      </c>
      <c r="AE193" t="e">
        <f>AVERAGE(Table1[[#This Row],[Runs Conceded]]/Table1[[#This Row],[Wickets Taken]])</f>
        <v>#VALUE!</v>
      </c>
    </row>
    <row r="194" spans="1:31" x14ac:dyDescent="0.3">
      <c r="A194" t="s">
        <v>161</v>
      </c>
      <c r="B194" t="s">
        <v>192</v>
      </c>
      <c r="C194" t="s">
        <v>92</v>
      </c>
      <c r="D194">
        <v>14</v>
      </c>
      <c r="E194">
        <v>13</v>
      </c>
      <c r="F194">
        <v>5</v>
      </c>
      <c r="G194">
        <v>253</v>
      </c>
      <c r="H194" t="s">
        <v>193</v>
      </c>
      <c r="I194">
        <v>31.62</v>
      </c>
      <c r="J194">
        <v>173</v>
      </c>
      <c r="K194">
        <v>146.24</v>
      </c>
      <c r="L194">
        <v>0</v>
      </c>
      <c r="M194">
        <v>2</v>
      </c>
      <c r="N194">
        <v>0</v>
      </c>
      <c r="O194">
        <v>22</v>
      </c>
      <c r="P194">
        <v>14</v>
      </c>
      <c r="Q194" t="s">
        <v>37</v>
      </c>
      <c r="R194" t="s">
        <v>37</v>
      </c>
      <c r="S194" t="s">
        <v>37</v>
      </c>
      <c r="T194" t="s">
        <v>37</v>
      </c>
      <c r="U194" t="s">
        <v>37</v>
      </c>
      <c r="V194" t="s">
        <v>37</v>
      </c>
      <c r="W194" t="s">
        <v>37</v>
      </c>
      <c r="X194" t="s">
        <v>37</v>
      </c>
      <c r="Y194" t="s">
        <v>37</v>
      </c>
      <c r="Z194" t="s">
        <v>37</v>
      </c>
      <c r="AA194" t="s">
        <v>37</v>
      </c>
      <c r="AB194">
        <v>7</v>
      </c>
      <c r="AC194">
        <v>0</v>
      </c>
      <c r="AD194">
        <f t="shared" ref="AD194:AD257" ca="1" si="3">RANDBETWEEN(3,18)</f>
        <v>8</v>
      </c>
      <c r="AE194" t="e">
        <f>AVERAGE(Table1[[#This Row],[Runs Conceded]]/Table1[[#This Row],[Wickets Taken]])</f>
        <v>#VALUE!</v>
      </c>
    </row>
    <row r="195" spans="1:31" x14ac:dyDescent="0.3">
      <c r="A195" t="s">
        <v>161</v>
      </c>
      <c r="B195" t="s">
        <v>194</v>
      </c>
      <c r="C195" t="s">
        <v>30</v>
      </c>
      <c r="D195">
        <v>2</v>
      </c>
      <c r="E195">
        <v>2</v>
      </c>
      <c r="F195">
        <v>1</v>
      </c>
      <c r="G195">
        <v>33</v>
      </c>
      <c r="H195">
        <v>28</v>
      </c>
      <c r="I195">
        <v>33</v>
      </c>
      <c r="J195">
        <v>39</v>
      </c>
      <c r="K195">
        <v>84.61</v>
      </c>
      <c r="L195">
        <v>0</v>
      </c>
      <c r="M195">
        <v>0</v>
      </c>
      <c r="N195">
        <v>0</v>
      </c>
      <c r="O195">
        <v>3</v>
      </c>
      <c r="P195">
        <v>0</v>
      </c>
      <c r="Q195" t="s">
        <v>37</v>
      </c>
      <c r="R195" t="s">
        <v>37</v>
      </c>
      <c r="S195" t="s">
        <v>37</v>
      </c>
      <c r="T195" t="s">
        <v>37</v>
      </c>
      <c r="U195" t="s">
        <v>37</v>
      </c>
      <c r="V195" t="s">
        <v>37</v>
      </c>
      <c r="W195" t="s">
        <v>37</v>
      </c>
      <c r="X195" t="s">
        <v>37</v>
      </c>
      <c r="Y195" t="s">
        <v>37</v>
      </c>
      <c r="Z195" t="s">
        <v>37</v>
      </c>
      <c r="AA195" t="s">
        <v>37</v>
      </c>
      <c r="AB195">
        <v>0</v>
      </c>
      <c r="AC195">
        <v>0</v>
      </c>
      <c r="AD195">
        <f t="shared" ca="1" si="3"/>
        <v>13</v>
      </c>
      <c r="AE195" t="e">
        <f>AVERAGE(Table1[[#This Row],[Runs Conceded]]/Table1[[#This Row],[Wickets Taken]])</f>
        <v>#VALUE!</v>
      </c>
    </row>
    <row r="196" spans="1:31" x14ac:dyDescent="0.3">
      <c r="A196" t="s">
        <v>161</v>
      </c>
      <c r="B196" t="s">
        <v>195</v>
      </c>
      <c r="C196" t="s">
        <v>30</v>
      </c>
      <c r="D196">
        <v>4</v>
      </c>
      <c r="E196">
        <v>3</v>
      </c>
      <c r="F196">
        <v>1</v>
      </c>
      <c r="G196">
        <v>38</v>
      </c>
      <c r="H196">
        <v>16</v>
      </c>
      <c r="I196">
        <v>19</v>
      </c>
      <c r="J196">
        <v>31</v>
      </c>
      <c r="K196">
        <v>122.58</v>
      </c>
      <c r="L196">
        <v>0</v>
      </c>
      <c r="M196">
        <v>0</v>
      </c>
      <c r="N196">
        <v>0</v>
      </c>
      <c r="O196">
        <v>5</v>
      </c>
      <c r="P196">
        <v>0</v>
      </c>
      <c r="Q196" t="s">
        <v>37</v>
      </c>
      <c r="R196" t="s">
        <v>37</v>
      </c>
      <c r="S196" t="s">
        <v>37</v>
      </c>
      <c r="T196" t="s">
        <v>37</v>
      </c>
      <c r="U196" t="s">
        <v>37</v>
      </c>
      <c r="V196" t="s">
        <v>37</v>
      </c>
      <c r="W196" t="s">
        <v>37</v>
      </c>
      <c r="X196" t="s">
        <v>37</v>
      </c>
      <c r="Y196" t="s">
        <v>37</v>
      </c>
      <c r="Z196" t="s">
        <v>37</v>
      </c>
      <c r="AA196" t="s">
        <v>37</v>
      </c>
      <c r="AB196">
        <v>2</v>
      </c>
      <c r="AC196">
        <v>0</v>
      </c>
      <c r="AD196">
        <f t="shared" ca="1" si="3"/>
        <v>12</v>
      </c>
      <c r="AE196" t="e">
        <f>AVERAGE(Table1[[#This Row],[Runs Conceded]]/Table1[[#This Row],[Wickets Taken]])</f>
        <v>#VALUE!</v>
      </c>
    </row>
    <row r="197" spans="1:31" x14ac:dyDescent="0.3">
      <c r="A197" t="s">
        <v>161</v>
      </c>
      <c r="B197" t="s">
        <v>196</v>
      </c>
      <c r="C197" t="s">
        <v>30</v>
      </c>
      <c r="D197">
        <v>12</v>
      </c>
      <c r="E197">
        <v>9</v>
      </c>
      <c r="F197">
        <v>1</v>
      </c>
      <c r="G197">
        <v>126</v>
      </c>
      <c r="H197">
        <v>36</v>
      </c>
      <c r="I197">
        <v>15.75</v>
      </c>
      <c r="J197">
        <v>92</v>
      </c>
      <c r="K197">
        <v>136.94999999999999</v>
      </c>
      <c r="L197">
        <v>0</v>
      </c>
      <c r="M197">
        <v>0</v>
      </c>
      <c r="N197">
        <v>3</v>
      </c>
      <c r="O197">
        <v>10</v>
      </c>
      <c r="P197">
        <v>6</v>
      </c>
      <c r="Q197">
        <v>9</v>
      </c>
      <c r="R197">
        <v>16</v>
      </c>
      <c r="S197">
        <v>0</v>
      </c>
      <c r="T197">
        <v>135</v>
      </c>
      <c r="U197">
        <v>4</v>
      </c>
      <c r="V197" s="2">
        <v>43924</v>
      </c>
      <c r="W197">
        <v>33.75</v>
      </c>
      <c r="X197">
        <v>8.43</v>
      </c>
      <c r="Y197">
        <v>24</v>
      </c>
      <c r="Z197">
        <v>0</v>
      </c>
      <c r="AA197">
        <v>0</v>
      </c>
      <c r="AB197">
        <v>2</v>
      </c>
      <c r="AC197">
        <v>0</v>
      </c>
      <c r="AD197">
        <f t="shared" ca="1" si="3"/>
        <v>5</v>
      </c>
      <c r="AE197">
        <f>AVERAGE(Table1[[#This Row],[Runs Conceded]]/Table1[[#This Row],[Wickets Taken]])</f>
        <v>33.75</v>
      </c>
    </row>
    <row r="198" spans="1:31" x14ac:dyDescent="0.3">
      <c r="A198" t="s">
        <v>161</v>
      </c>
      <c r="B198" t="s">
        <v>197</v>
      </c>
      <c r="C198" t="s">
        <v>30</v>
      </c>
      <c r="D198">
        <v>13</v>
      </c>
      <c r="E198">
        <v>7</v>
      </c>
      <c r="F198">
        <v>3</v>
      </c>
      <c r="G198">
        <v>46</v>
      </c>
      <c r="H198">
        <v>18</v>
      </c>
      <c r="I198">
        <v>11.5</v>
      </c>
      <c r="J198">
        <v>47</v>
      </c>
      <c r="K198">
        <v>97.87</v>
      </c>
      <c r="L198">
        <v>0</v>
      </c>
      <c r="M198">
        <v>0</v>
      </c>
      <c r="N198">
        <v>0</v>
      </c>
      <c r="O198">
        <v>4</v>
      </c>
      <c r="P198">
        <v>1</v>
      </c>
      <c r="Q198">
        <v>13</v>
      </c>
      <c r="R198">
        <v>44</v>
      </c>
      <c r="S198">
        <v>0</v>
      </c>
      <c r="T198">
        <v>386</v>
      </c>
      <c r="U198">
        <v>17</v>
      </c>
      <c r="V198" s="2">
        <v>43985</v>
      </c>
      <c r="W198">
        <v>22.7</v>
      </c>
      <c r="X198">
        <v>8.77</v>
      </c>
      <c r="Y198">
        <v>15.5</v>
      </c>
      <c r="Z198">
        <v>0</v>
      </c>
      <c r="AA198">
        <v>0</v>
      </c>
      <c r="AB198">
        <v>6</v>
      </c>
      <c r="AC198">
        <v>0</v>
      </c>
      <c r="AD198">
        <f t="shared" ca="1" si="3"/>
        <v>9</v>
      </c>
      <c r="AE198">
        <f>AVERAGE(Table1[[#This Row],[Runs Conceded]]/Table1[[#This Row],[Wickets Taken]])</f>
        <v>22.705882352941178</v>
      </c>
    </row>
    <row r="199" spans="1:31" x14ac:dyDescent="0.3">
      <c r="A199" t="s">
        <v>161</v>
      </c>
      <c r="B199" t="s">
        <v>198</v>
      </c>
      <c r="C199" t="s">
        <v>30</v>
      </c>
      <c r="D199">
        <v>1</v>
      </c>
      <c r="E199">
        <v>1</v>
      </c>
      <c r="F199">
        <v>1</v>
      </c>
      <c r="G199">
        <v>6</v>
      </c>
      <c r="H199" t="s">
        <v>61</v>
      </c>
      <c r="I199" t="s">
        <v>37</v>
      </c>
      <c r="J199">
        <v>5</v>
      </c>
      <c r="K199">
        <v>120</v>
      </c>
      <c r="L199">
        <v>0</v>
      </c>
      <c r="M199">
        <v>0</v>
      </c>
      <c r="N199">
        <v>0</v>
      </c>
      <c r="O199">
        <v>1</v>
      </c>
      <c r="P199">
        <v>0</v>
      </c>
      <c r="Q199" t="s">
        <v>37</v>
      </c>
      <c r="R199" t="s">
        <v>37</v>
      </c>
      <c r="S199" t="s">
        <v>37</v>
      </c>
      <c r="T199" t="s">
        <v>37</v>
      </c>
      <c r="U199" t="s">
        <v>37</v>
      </c>
      <c r="V199" t="s">
        <v>37</v>
      </c>
      <c r="W199" t="s">
        <v>37</v>
      </c>
      <c r="X199" t="s">
        <v>37</v>
      </c>
      <c r="Y199" t="s">
        <v>37</v>
      </c>
      <c r="Z199" t="s">
        <v>37</v>
      </c>
      <c r="AA199" t="s">
        <v>37</v>
      </c>
      <c r="AB199">
        <v>0</v>
      </c>
      <c r="AC199">
        <v>0</v>
      </c>
      <c r="AD199">
        <f t="shared" ca="1" si="3"/>
        <v>7</v>
      </c>
      <c r="AE199" t="e">
        <f>AVERAGE(Table1[[#This Row],[Runs Conceded]]/Table1[[#This Row],[Wickets Taken]])</f>
        <v>#VALUE!</v>
      </c>
    </row>
    <row r="200" spans="1:31" x14ac:dyDescent="0.3">
      <c r="A200" t="s">
        <v>161</v>
      </c>
      <c r="B200" t="s">
        <v>199</v>
      </c>
      <c r="C200" t="s">
        <v>92</v>
      </c>
      <c r="D200">
        <v>5</v>
      </c>
      <c r="E200" t="s">
        <v>37</v>
      </c>
      <c r="F200" t="s">
        <v>37</v>
      </c>
      <c r="G200" t="s">
        <v>37</v>
      </c>
      <c r="H200" t="s">
        <v>37</v>
      </c>
      <c r="I200" t="s">
        <v>37</v>
      </c>
      <c r="J200" t="s">
        <v>37</v>
      </c>
      <c r="K200" t="s">
        <v>37</v>
      </c>
      <c r="L200" t="s">
        <v>37</v>
      </c>
      <c r="M200" t="s">
        <v>37</v>
      </c>
      <c r="N200" t="s">
        <v>37</v>
      </c>
      <c r="O200" t="s">
        <v>37</v>
      </c>
      <c r="P200" t="s">
        <v>37</v>
      </c>
      <c r="Q200">
        <v>5</v>
      </c>
      <c r="R200">
        <v>17</v>
      </c>
      <c r="S200">
        <v>0</v>
      </c>
      <c r="T200">
        <v>183</v>
      </c>
      <c r="U200">
        <v>2</v>
      </c>
      <c r="V200" s="1">
        <v>13881</v>
      </c>
      <c r="W200">
        <v>91.5</v>
      </c>
      <c r="X200">
        <v>10.76</v>
      </c>
      <c r="Y200">
        <v>51</v>
      </c>
      <c r="Z200">
        <v>0</v>
      </c>
      <c r="AA200">
        <v>0</v>
      </c>
      <c r="AB200">
        <v>0</v>
      </c>
      <c r="AC200">
        <v>0</v>
      </c>
      <c r="AD200">
        <f t="shared" ca="1" si="3"/>
        <v>3</v>
      </c>
      <c r="AE200">
        <f>AVERAGE(Table1[[#This Row],[Runs Conceded]]/Table1[[#This Row],[Wickets Taken]])</f>
        <v>91.5</v>
      </c>
    </row>
    <row r="201" spans="1:31" x14ac:dyDescent="0.3">
      <c r="A201" t="s">
        <v>161</v>
      </c>
      <c r="B201" t="s">
        <v>200</v>
      </c>
      <c r="C201" t="s">
        <v>32</v>
      </c>
      <c r="D201">
        <v>13</v>
      </c>
      <c r="E201">
        <v>11</v>
      </c>
      <c r="F201">
        <v>5</v>
      </c>
      <c r="G201">
        <v>203</v>
      </c>
      <c r="H201" t="s">
        <v>201</v>
      </c>
      <c r="I201">
        <v>33.83</v>
      </c>
      <c r="J201">
        <v>139</v>
      </c>
      <c r="K201">
        <v>146.04</v>
      </c>
      <c r="L201">
        <v>0</v>
      </c>
      <c r="M201">
        <v>1</v>
      </c>
      <c r="N201">
        <v>0</v>
      </c>
      <c r="O201">
        <v>22</v>
      </c>
      <c r="P201">
        <v>5</v>
      </c>
      <c r="Q201" t="s">
        <v>37</v>
      </c>
      <c r="R201" t="s">
        <v>37</v>
      </c>
      <c r="S201" t="s">
        <v>37</v>
      </c>
      <c r="T201" t="s">
        <v>37</v>
      </c>
      <c r="U201" t="s">
        <v>37</v>
      </c>
      <c r="V201" t="s">
        <v>37</v>
      </c>
      <c r="W201" t="s">
        <v>37</v>
      </c>
      <c r="X201" t="s">
        <v>37</v>
      </c>
      <c r="Y201" t="s">
        <v>37</v>
      </c>
      <c r="Z201" t="s">
        <v>37</v>
      </c>
      <c r="AA201" t="s">
        <v>37</v>
      </c>
      <c r="AB201">
        <v>3</v>
      </c>
      <c r="AC201">
        <v>0</v>
      </c>
      <c r="AD201">
        <f t="shared" ca="1" si="3"/>
        <v>17</v>
      </c>
      <c r="AE201" t="e">
        <f>AVERAGE(Table1[[#This Row],[Runs Conceded]]/Table1[[#This Row],[Wickets Taken]])</f>
        <v>#VALUE!</v>
      </c>
    </row>
    <row r="202" spans="1:31" x14ac:dyDescent="0.3">
      <c r="A202" t="s">
        <v>161</v>
      </c>
      <c r="B202" t="s">
        <v>200</v>
      </c>
      <c r="C202" t="s">
        <v>92</v>
      </c>
      <c r="D202">
        <v>14</v>
      </c>
      <c r="E202">
        <v>13</v>
      </c>
      <c r="F202">
        <v>4</v>
      </c>
      <c r="G202">
        <v>296</v>
      </c>
      <c r="H202">
        <v>76</v>
      </c>
      <c r="I202">
        <v>32.880000000000003</v>
      </c>
      <c r="J202">
        <v>238</v>
      </c>
      <c r="K202">
        <v>124.36</v>
      </c>
      <c r="L202">
        <v>0</v>
      </c>
      <c r="M202">
        <v>3</v>
      </c>
      <c r="N202">
        <v>0</v>
      </c>
      <c r="O202">
        <v>21</v>
      </c>
      <c r="P202">
        <v>10</v>
      </c>
      <c r="Q202" t="s">
        <v>37</v>
      </c>
      <c r="R202" t="s">
        <v>37</v>
      </c>
      <c r="S202" t="s">
        <v>37</v>
      </c>
      <c r="T202" t="s">
        <v>37</v>
      </c>
      <c r="U202" t="s">
        <v>37</v>
      </c>
      <c r="V202" t="s">
        <v>37</v>
      </c>
      <c r="W202" t="s">
        <v>37</v>
      </c>
      <c r="X202" t="s">
        <v>37</v>
      </c>
      <c r="Y202" t="s">
        <v>37</v>
      </c>
      <c r="Z202" t="s">
        <v>37</v>
      </c>
      <c r="AA202" t="s">
        <v>37</v>
      </c>
      <c r="AB202">
        <v>7</v>
      </c>
      <c r="AC202">
        <v>0</v>
      </c>
      <c r="AD202">
        <f t="shared" ca="1" si="3"/>
        <v>9</v>
      </c>
      <c r="AE202" t="e">
        <f>AVERAGE(Table1[[#This Row],[Runs Conceded]]/Table1[[#This Row],[Wickets Taken]])</f>
        <v>#VALUE!</v>
      </c>
    </row>
    <row r="203" spans="1:31" x14ac:dyDescent="0.3">
      <c r="A203" t="s">
        <v>161</v>
      </c>
      <c r="B203" t="s">
        <v>202</v>
      </c>
      <c r="C203" t="s">
        <v>32</v>
      </c>
      <c r="D203">
        <v>4</v>
      </c>
      <c r="E203">
        <v>2</v>
      </c>
      <c r="F203">
        <v>1</v>
      </c>
      <c r="G203">
        <v>8</v>
      </c>
      <c r="H203" t="s">
        <v>61</v>
      </c>
      <c r="I203">
        <v>8</v>
      </c>
      <c r="J203">
        <v>6</v>
      </c>
      <c r="K203">
        <v>133.33000000000001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3</v>
      </c>
      <c r="R203">
        <v>7</v>
      </c>
      <c r="S203">
        <v>0</v>
      </c>
      <c r="T203">
        <v>89</v>
      </c>
      <c r="U203">
        <v>2</v>
      </c>
      <c r="V203" s="1">
        <v>45292</v>
      </c>
      <c r="W203">
        <v>44.5</v>
      </c>
      <c r="X203">
        <v>12.71</v>
      </c>
      <c r="Y203">
        <v>21</v>
      </c>
      <c r="Z203">
        <v>0</v>
      </c>
      <c r="AA203">
        <v>0</v>
      </c>
      <c r="AB203">
        <v>4</v>
      </c>
      <c r="AC203">
        <v>0</v>
      </c>
      <c r="AD203">
        <f t="shared" ca="1" si="3"/>
        <v>12</v>
      </c>
      <c r="AE203">
        <f>AVERAGE(Table1[[#This Row],[Runs Conceded]]/Table1[[#This Row],[Wickets Taken]])</f>
        <v>44.5</v>
      </c>
    </row>
    <row r="204" spans="1:31" x14ac:dyDescent="0.3">
      <c r="A204" t="s">
        <v>161</v>
      </c>
      <c r="B204" t="s">
        <v>203</v>
      </c>
      <c r="C204" t="s">
        <v>32</v>
      </c>
      <c r="D204">
        <v>5</v>
      </c>
      <c r="E204">
        <v>4</v>
      </c>
      <c r="F204">
        <v>1</v>
      </c>
      <c r="G204">
        <v>23</v>
      </c>
      <c r="H204">
        <v>18</v>
      </c>
      <c r="I204">
        <v>7.66</v>
      </c>
      <c r="J204">
        <v>28</v>
      </c>
      <c r="K204">
        <v>82.14</v>
      </c>
      <c r="L204">
        <v>0</v>
      </c>
      <c r="M204">
        <v>0</v>
      </c>
      <c r="N204">
        <v>0</v>
      </c>
      <c r="O204">
        <v>3</v>
      </c>
      <c r="P204">
        <v>0</v>
      </c>
      <c r="Q204">
        <v>5</v>
      </c>
      <c r="R204">
        <v>10.1</v>
      </c>
      <c r="S204">
        <v>0</v>
      </c>
      <c r="T204">
        <v>118</v>
      </c>
      <c r="U204">
        <v>6</v>
      </c>
      <c r="V204" s="1">
        <v>43497</v>
      </c>
      <c r="W204">
        <v>19.66</v>
      </c>
      <c r="X204">
        <v>11.6</v>
      </c>
      <c r="Y204">
        <v>10.1</v>
      </c>
      <c r="Z204">
        <v>0</v>
      </c>
      <c r="AA204">
        <v>0</v>
      </c>
      <c r="AB204">
        <v>1</v>
      </c>
      <c r="AC204">
        <v>0</v>
      </c>
      <c r="AD204">
        <f t="shared" ca="1" si="3"/>
        <v>8</v>
      </c>
      <c r="AE204">
        <f>AVERAGE(Table1[[#This Row],[Runs Conceded]]/Table1[[#This Row],[Wickets Taken]])</f>
        <v>19.666666666666668</v>
      </c>
    </row>
    <row r="205" spans="1:31" x14ac:dyDescent="0.3">
      <c r="A205" t="s">
        <v>161</v>
      </c>
      <c r="B205" t="s">
        <v>204</v>
      </c>
      <c r="C205" t="s">
        <v>32</v>
      </c>
      <c r="D205">
        <v>4</v>
      </c>
      <c r="E205">
        <v>4</v>
      </c>
      <c r="F205">
        <v>0</v>
      </c>
      <c r="G205">
        <v>29</v>
      </c>
      <c r="H205">
        <v>16</v>
      </c>
      <c r="I205">
        <v>7.25</v>
      </c>
      <c r="J205">
        <v>31</v>
      </c>
      <c r="K205">
        <v>93.54</v>
      </c>
      <c r="L205">
        <v>0</v>
      </c>
      <c r="M205">
        <v>0</v>
      </c>
      <c r="N205">
        <v>0</v>
      </c>
      <c r="O205">
        <v>4</v>
      </c>
      <c r="P205">
        <v>0</v>
      </c>
      <c r="Q205" t="s">
        <v>37</v>
      </c>
      <c r="R205" t="s">
        <v>37</v>
      </c>
      <c r="S205" t="s">
        <v>37</v>
      </c>
      <c r="T205" t="s">
        <v>37</v>
      </c>
      <c r="U205" t="s">
        <v>37</v>
      </c>
      <c r="V205" t="s">
        <v>37</v>
      </c>
      <c r="W205" t="s">
        <v>37</v>
      </c>
      <c r="X205" t="s">
        <v>37</v>
      </c>
      <c r="Y205" t="s">
        <v>37</v>
      </c>
      <c r="Z205" t="s">
        <v>37</v>
      </c>
      <c r="AA205" t="s">
        <v>37</v>
      </c>
      <c r="AB205">
        <v>4</v>
      </c>
      <c r="AC205">
        <v>0</v>
      </c>
      <c r="AD205">
        <f t="shared" ca="1" si="3"/>
        <v>10</v>
      </c>
      <c r="AE205" t="e">
        <f>AVERAGE(Table1[[#This Row],[Runs Conceded]]/Table1[[#This Row],[Wickets Taken]])</f>
        <v>#VALUE!</v>
      </c>
    </row>
    <row r="206" spans="1:31" x14ac:dyDescent="0.3">
      <c r="A206" t="s">
        <v>161</v>
      </c>
      <c r="B206" t="s">
        <v>204</v>
      </c>
      <c r="C206" t="s">
        <v>92</v>
      </c>
      <c r="D206">
        <v>5</v>
      </c>
      <c r="E206">
        <v>3</v>
      </c>
      <c r="F206">
        <v>1</v>
      </c>
      <c r="G206">
        <v>37</v>
      </c>
      <c r="H206">
        <v>30</v>
      </c>
      <c r="I206">
        <v>18.5</v>
      </c>
      <c r="J206">
        <v>34</v>
      </c>
      <c r="K206">
        <v>108.82</v>
      </c>
      <c r="L206">
        <v>0</v>
      </c>
      <c r="M206">
        <v>0</v>
      </c>
      <c r="N206">
        <v>0</v>
      </c>
      <c r="O206">
        <v>1</v>
      </c>
      <c r="P206">
        <v>2</v>
      </c>
      <c r="Q206" t="s">
        <v>37</v>
      </c>
      <c r="R206" t="s">
        <v>37</v>
      </c>
      <c r="S206" t="s">
        <v>37</v>
      </c>
      <c r="T206" t="s">
        <v>37</v>
      </c>
      <c r="U206" t="s">
        <v>37</v>
      </c>
      <c r="V206" t="s">
        <v>37</v>
      </c>
      <c r="W206" t="s">
        <v>37</v>
      </c>
      <c r="X206" t="s">
        <v>37</v>
      </c>
      <c r="Y206" t="s">
        <v>37</v>
      </c>
      <c r="Z206" t="s">
        <v>37</v>
      </c>
      <c r="AA206" t="s">
        <v>37</v>
      </c>
      <c r="AB206">
        <v>1</v>
      </c>
      <c r="AC206">
        <v>0</v>
      </c>
      <c r="AD206">
        <f t="shared" ca="1" si="3"/>
        <v>11</v>
      </c>
      <c r="AE206" t="e">
        <f>AVERAGE(Table1[[#This Row],[Runs Conceded]]/Table1[[#This Row],[Wickets Taken]])</f>
        <v>#VALUE!</v>
      </c>
    </row>
    <row r="207" spans="1:31" x14ac:dyDescent="0.3">
      <c r="A207" t="s">
        <v>161</v>
      </c>
      <c r="B207" t="s">
        <v>205</v>
      </c>
      <c r="C207" t="s">
        <v>32</v>
      </c>
      <c r="D207">
        <v>9</v>
      </c>
      <c r="E207">
        <v>4</v>
      </c>
      <c r="F207">
        <v>1</v>
      </c>
      <c r="G207">
        <v>13</v>
      </c>
      <c r="H207">
        <v>7</v>
      </c>
      <c r="I207">
        <v>4.33</v>
      </c>
      <c r="J207">
        <v>15</v>
      </c>
      <c r="K207">
        <v>86.66</v>
      </c>
      <c r="L207">
        <v>0</v>
      </c>
      <c r="M207">
        <v>0</v>
      </c>
      <c r="N207">
        <v>1</v>
      </c>
      <c r="O207">
        <v>1</v>
      </c>
      <c r="P207">
        <v>0</v>
      </c>
      <c r="Q207">
        <v>9</v>
      </c>
      <c r="R207">
        <v>28</v>
      </c>
      <c r="S207">
        <v>0</v>
      </c>
      <c r="T207">
        <v>270</v>
      </c>
      <c r="U207">
        <v>5</v>
      </c>
      <c r="V207" s="1">
        <v>41640</v>
      </c>
      <c r="W207">
        <v>54</v>
      </c>
      <c r="X207">
        <v>9.64</v>
      </c>
      <c r="Y207">
        <v>33.6</v>
      </c>
      <c r="Z207">
        <v>0</v>
      </c>
      <c r="AA207">
        <v>0</v>
      </c>
      <c r="AB207">
        <v>3</v>
      </c>
      <c r="AC207">
        <v>0</v>
      </c>
      <c r="AD207">
        <f t="shared" ca="1" si="3"/>
        <v>4</v>
      </c>
      <c r="AE207">
        <f>AVERAGE(Table1[[#This Row],[Runs Conceded]]/Table1[[#This Row],[Wickets Taken]])</f>
        <v>54</v>
      </c>
    </row>
    <row r="208" spans="1:31" x14ac:dyDescent="0.3">
      <c r="A208" t="s">
        <v>161</v>
      </c>
      <c r="B208" t="s">
        <v>206</v>
      </c>
      <c r="C208" t="s">
        <v>32</v>
      </c>
      <c r="D208">
        <v>7</v>
      </c>
      <c r="E208">
        <v>2</v>
      </c>
      <c r="F208">
        <v>2</v>
      </c>
      <c r="G208">
        <v>1</v>
      </c>
      <c r="H208" t="s">
        <v>55</v>
      </c>
      <c r="I208" t="s">
        <v>37</v>
      </c>
      <c r="J208">
        <v>5</v>
      </c>
      <c r="K208">
        <v>20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</v>
      </c>
      <c r="R208">
        <v>28</v>
      </c>
      <c r="S208">
        <v>0</v>
      </c>
      <c r="T208">
        <v>260</v>
      </c>
      <c r="U208">
        <v>10</v>
      </c>
      <c r="V208" s="1">
        <v>11049</v>
      </c>
      <c r="W208">
        <v>26</v>
      </c>
      <c r="X208">
        <v>9.2799999999999994</v>
      </c>
      <c r="Y208">
        <v>16.8</v>
      </c>
      <c r="Z208">
        <v>1</v>
      </c>
      <c r="AA208">
        <v>0</v>
      </c>
      <c r="AB208">
        <v>1</v>
      </c>
      <c r="AC208">
        <v>0</v>
      </c>
      <c r="AD208">
        <f t="shared" ca="1" si="3"/>
        <v>5</v>
      </c>
      <c r="AE208">
        <f>AVERAGE(Table1[[#This Row],[Runs Conceded]]/Table1[[#This Row],[Wickets Taken]])</f>
        <v>26</v>
      </c>
    </row>
    <row r="209" spans="1:31" x14ac:dyDescent="0.3">
      <c r="A209" t="s">
        <v>161</v>
      </c>
      <c r="B209" t="s">
        <v>206</v>
      </c>
      <c r="C209" t="s">
        <v>92</v>
      </c>
      <c r="D209">
        <v>11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2</v>
      </c>
      <c r="K209">
        <v>0</v>
      </c>
      <c r="L209">
        <v>0</v>
      </c>
      <c r="M209">
        <v>0</v>
      </c>
      <c r="N209">
        <v>1</v>
      </c>
      <c r="O209">
        <v>0</v>
      </c>
      <c r="P209">
        <v>0</v>
      </c>
      <c r="Q209">
        <v>11</v>
      </c>
      <c r="R209">
        <v>40.200000000000003</v>
      </c>
      <c r="S209">
        <v>0</v>
      </c>
      <c r="T209">
        <v>377</v>
      </c>
      <c r="U209">
        <v>4</v>
      </c>
      <c r="V209" s="1">
        <v>44562</v>
      </c>
      <c r="W209">
        <v>94.25</v>
      </c>
      <c r="X209">
        <v>9.34</v>
      </c>
      <c r="Y209">
        <v>60.5</v>
      </c>
      <c r="Z209">
        <v>0</v>
      </c>
      <c r="AA209">
        <v>0</v>
      </c>
      <c r="AB209">
        <v>2</v>
      </c>
      <c r="AC209">
        <v>0</v>
      </c>
      <c r="AD209">
        <f t="shared" ca="1" si="3"/>
        <v>4</v>
      </c>
      <c r="AE209">
        <f>AVERAGE(Table1[[#This Row],[Runs Conceded]]/Table1[[#This Row],[Wickets Taken]])</f>
        <v>94.25</v>
      </c>
    </row>
    <row r="210" spans="1:31" x14ac:dyDescent="0.3">
      <c r="A210" t="s">
        <v>161</v>
      </c>
      <c r="B210" t="s">
        <v>207</v>
      </c>
      <c r="C210" t="s">
        <v>92</v>
      </c>
      <c r="D210">
        <v>1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1</v>
      </c>
      <c r="O210">
        <v>0</v>
      </c>
      <c r="P210">
        <v>0</v>
      </c>
      <c r="Q210" t="s">
        <v>37</v>
      </c>
      <c r="R210" t="s">
        <v>37</v>
      </c>
      <c r="S210" t="s">
        <v>37</v>
      </c>
      <c r="T210" t="s">
        <v>37</v>
      </c>
      <c r="U210" t="s">
        <v>37</v>
      </c>
      <c r="V210" t="s">
        <v>37</v>
      </c>
      <c r="W210" t="s">
        <v>37</v>
      </c>
      <c r="X210" t="s">
        <v>37</v>
      </c>
      <c r="Y210" t="s">
        <v>37</v>
      </c>
      <c r="Z210" t="s">
        <v>37</v>
      </c>
      <c r="AA210" t="s">
        <v>37</v>
      </c>
      <c r="AB210">
        <v>0</v>
      </c>
      <c r="AC210">
        <v>0</v>
      </c>
      <c r="AD210">
        <f t="shared" ca="1" si="3"/>
        <v>9</v>
      </c>
      <c r="AE210" t="e">
        <f>AVERAGE(Table1[[#This Row],[Runs Conceded]]/Table1[[#This Row],[Wickets Taken]])</f>
        <v>#VALUE!</v>
      </c>
    </row>
    <row r="211" spans="1:31" x14ac:dyDescent="0.3">
      <c r="A211" t="s">
        <v>161</v>
      </c>
      <c r="B211" t="s">
        <v>208</v>
      </c>
      <c r="C211" t="s">
        <v>92</v>
      </c>
      <c r="D211">
        <v>8</v>
      </c>
      <c r="E211">
        <v>1</v>
      </c>
      <c r="F211">
        <v>1</v>
      </c>
      <c r="G211">
        <v>1</v>
      </c>
      <c r="H211" t="s">
        <v>55</v>
      </c>
      <c r="I211" t="s">
        <v>37</v>
      </c>
      <c r="J211">
        <v>5</v>
      </c>
      <c r="K211">
        <v>20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8</v>
      </c>
      <c r="R211">
        <v>27</v>
      </c>
      <c r="S211">
        <v>0</v>
      </c>
      <c r="T211">
        <v>238</v>
      </c>
      <c r="U211">
        <v>7</v>
      </c>
      <c r="V211" s="1">
        <v>45689</v>
      </c>
      <c r="W211">
        <v>34</v>
      </c>
      <c r="X211">
        <v>8.81</v>
      </c>
      <c r="Y211">
        <v>23.1</v>
      </c>
      <c r="Z211">
        <v>0</v>
      </c>
      <c r="AA211">
        <v>0</v>
      </c>
      <c r="AB211">
        <v>0</v>
      </c>
      <c r="AC211">
        <v>0</v>
      </c>
      <c r="AD211">
        <f t="shared" ca="1" si="3"/>
        <v>6</v>
      </c>
      <c r="AE211">
        <f>AVERAGE(Table1[[#This Row],[Runs Conceded]]/Table1[[#This Row],[Wickets Taken]])</f>
        <v>34</v>
      </c>
    </row>
    <row r="212" spans="1:31" x14ac:dyDescent="0.3">
      <c r="A212" t="s">
        <v>161</v>
      </c>
      <c r="B212" t="s">
        <v>209</v>
      </c>
      <c r="C212" t="s">
        <v>92</v>
      </c>
      <c r="D212">
        <v>2</v>
      </c>
      <c r="E212">
        <v>1</v>
      </c>
      <c r="F212">
        <v>1</v>
      </c>
      <c r="G212">
        <v>0</v>
      </c>
      <c r="H212" t="s">
        <v>148</v>
      </c>
      <c r="I212" t="s">
        <v>37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</v>
      </c>
      <c r="R212">
        <v>5</v>
      </c>
      <c r="S212">
        <v>0</v>
      </c>
      <c r="T212">
        <v>57</v>
      </c>
      <c r="U212">
        <v>1</v>
      </c>
      <c r="V212" s="1">
        <v>47119</v>
      </c>
      <c r="W212">
        <v>57</v>
      </c>
      <c r="X212">
        <v>11.4</v>
      </c>
      <c r="Y212">
        <v>30</v>
      </c>
      <c r="Z212">
        <v>0</v>
      </c>
      <c r="AA212">
        <v>0</v>
      </c>
      <c r="AB212">
        <v>0</v>
      </c>
      <c r="AC212">
        <v>0</v>
      </c>
      <c r="AD212">
        <f t="shared" ca="1" si="3"/>
        <v>8</v>
      </c>
      <c r="AE212">
        <f>AVERAGE(Table1[[#This Row],[Runs Conceded]]/Table1[[#This Row],[Wickets Taken]])</f>
        <v>57</v>
      </c>
    </row>
    <row r="213" spans="1:31" x14ac:dyDescent="0.3">
      <c r="A213" t="s">
        <v>161</v>
      </c>
      <c r="B213" t="s">
        <v>210</v>
      </c>
      <c r="C213" t="s">
        <v>92</v>
      </c>
      <c r="D213">
        <v>3</v>
      </c>
      <c r="E213" t="s">
        <v>37</v>
      </c>
      <c r="F213" t="s">
        <v>37</v>
      </c>
      <c r="G213" t="s">
        <v>37</v>
      </c>
      <c r="H213" t="s">
        <v>37</v>
      </c>
      <c r="I213" t="s">
        <v>37</v>
      </c>
      <c r="J213" t="s">
        <v>37</v>
      </c>
      <c r="K213" t="s">
        <v>37</v>
      </c>
      <c r="L213" t="s">
        <v>37</v>
      </c>
      <c r="M213" t="s">
        <v>37</v>
      </c>
      <c r="N213" t="s">
        <v>37</v>
      </c>
      <c r="O213" t="s">
        <v>37</v>
      </c>
      <c r="P213" t="s">
        <v>37</v>
      </c>
      <c r="Q213">
        <v>3</v>
      </c>
      <c r="R213">
        <v>12</v>
      </c>
      <c r="S213">
        <v>0</v>
      </c>
      <c r="T213">
        <v>85</v>
      </c>
      <c r="U213">
        <v>2</v>
      </c>
      <c r="V213" s="1">
        <v>11355</v>
      </c>
      <c r="W213">
        <v>42.5</v>
      </c>
      <c r="X213">
        <v>7.08</v>
      </c>
      <c r="Y213">
        <v>36</v>
      </c>
      <c r="Z213">
        <v>0</v>
      </c>
      <c r="AA213">
        <v>0</v>
      </c>
      <c r="AB213">
        <v>1</v>
      </c>
      <c r="AC213">
        <v>0</v>
      </c>
      <c r="AD213">
        <f t="shared" ca="1" si="3"/>
        <v>17</v>
      </c>
      <c r="AE213">
        <f>AVERAGE(Table1[[#This Row],[Runs Conceded]]/Table1[[#This Row],[Wickets Taken]])</f>
        <v>42.5</v>
      </c>
    </row>
    <row r="214" spans="1:31" x14ac:dyDescent="0.3">
      <c r="A214" t="s">
        <v>211</v>
      </c>
      <c r="B214" t="s">
        <v>34</v>
      </c>
      <c r="C214" t="s">
        <v>32</v>
      </c>
      <c r="D214">
        <v>6</v>
      </c>
      <c r="E214">
        <v>4</v>
      </c>
      <c r="F214">
        <v>3</v>
      </c>
      <c r="G214">
        <v>36</v>
      </c>
      <c r="H214">
        <v>23</v>
      </c>
      <c r="I214">
        <v>36</v>
      </c>
      <c r="J214">
        <v>40</v>
      </c>
      <c r="K214">
        <v>90</v>
      </c>
      <c r="L214">
        <v>0</v>
      </c>
      <c r="M214">
        <v>0</v>
      </c>
      <c r="N214">
        <v>0</v>
      </c>
      <c r="O214">
        <v>3</v>
      </c>
      <c r="P214">
        <v>1</v>
      </c>
      <c r="Q214">
        <v>2</v>
      </c>
      <c r="R214">
        <v>3</v>
      </c>
      <c r="S214">
        <v>0</v>
      </c>
      <c r="T214">
        <v>36</v>
      </c>
      <c r="U214">
        <v>0</v>
      </c>
      <c r="V214" t="s">
        <v>37</v>
      </c>
      <c r="W214" t="s">
        <v>37</v>
      </c>
      <c r="X214">
        <v>12</v>
      </c>
      <c r="Y214" t="s">
        <v>37</v>
      </c>
      <c r="Z214">
        <v>0</v>
      </c>
      <c r="AA214">
        <v>0</v>
      </c>
      <c r="AB214">
        <v>2</v>
      </c>
      <c r="AC214">
        <v>0</v>
      </c>
      <c r="AD214">
        <f t="shared" ca="1" si="3"/>
        <v>5</v>
      </c>
      <c r="AE214" t="e">
        <f>AVERAGE(Table1[[#This Row],[Runs Conceded]]/Table1[[#This Row],[Wickets Taken]])</f>
        <v>#DIV/0!</v>
      </c>
    </row>
    <row r="215" spans="1:31" x14ac:dyDescent="0.3">
      <c r="A215" t="s">
        <v>211</v>
      </c>
      <c r="B215" t="s">
        <v>36</v>
      </c>
      <c r="C215" t="s">
        <v>92</v>
      </c>
      <c r="D215">
        <v>16</v>
      </c>
      <c r="E215">
        <v>16</v>
      </c>
      <c r="F215">
        <v>1</v>
      </c>
      <c r="G215">
        <v>529</v>
      </c>
      <c r="H215">
        <v>81</v>
      </c>
      <c r="I215">
        <v>35.26</v>
      </c>
      <c r="J215">
        <v>398</v>
      </c>
      <c r="K215">
        <v>132.91</v>
      </c>
      <c r="L215">
        <v>0</v>
      </c>
      <c r="M215">
        <v>4</v>
      </c>
      <c r="N215">
        <v>1</v>
      </c>
      <c r="O215">
        <v>45</v>
      </c>
      <c r="P215">
        <v>25</v>
      </c>
      <c r="Q215" t="s">
        <v>37</v>
      </c>
      <c r="R215" t="s">
        <v>37</v>
      </c>
      <c r="S215" t="s">
        <v>37</v>
      </c>
      <c r="T215" t="s">
        <v>37</v>
      </c>
      <c r="U215" t="s">
        <v>37</v>
      </c>
      <c r="V215" t="s">
        <v>37</v>
      </c>
      <c r="W215" t="s">
        <v>37</v>
      </c>
      <c r="X215" t="s">
        <v>37</v>
      </c>
      <c r="Y215" t="s">
        <v>37</v>
      </c>
      <c r="Z215" t="s">
        <v>37</v>
      </c>
      <c r="AA215" t="s">
        <v>37</v>
      </c>
      <c r="AB215">
        <v>17</v>
      </c>
      <c r="AC215">
        <v>2</v>
      </c>
      <c r="AD215">
        <f t="shared" ca="1" si="3"/>
        <v>10</v>
      </c>
      <c r="AE215" t="e">
        <f>AVERAGE(Table1[[#This Row],[Runs Conceded]]/Table1[[#This Row],[Wickets Taken]])</f>
        <v>#VALUE!</v>
      </c>
    </row>
    <row r="216" spans="1:31" x14ac:dyDescent="0.3">
      <c r="A216" t="s">
        <v>211</v>
      </c>
      <c r="B216" t="s">
        <v>52</v>
      </c>
      <c r="C216" t="s">
        <v>92</v>
      </c>
      <c r="D216">
        <v>2</v>
      </c>
      <c r="E216" t="s">
        <v>37</v>
      </c>
      <c r="F216" t="s">
        <v>37</v>
      </c>
      <c r="G216" t="s">
        <v>37</v>
      </c>
      <c r="H216" t="s">
        <v>37</v>
      </c>
      <c r="I216" t="s">
        <v>37</v>
      </c>
      <c r="J216" t="s">
        <v>37</v>
      </c>
      <c r="K216" t="s">
        <v>37</v>
      </c>
      <c r="L216" t="s">
        <v>37</v>
      </c>
      <c r="M216" t="s">
        <v>37</v>
      </c>
      <c r="N216" t="s">
        <v>37</v>
      </c>
      <c r="O216" t="s">
        <v>37</v>
      </c>
      <c r="P216" t="s">
        <v>37</v>
      </c>
      <c r="Q216">
        <v>2</v>
      </c>
      <c r="R216">
        <v>7</v>
      </c>
      <c r="S216">
        <v>0</v>
      </c>
      <c r="T216">
        <v>50</v>
      </c>
      <c r="U216">
        <v>1</v>
      </c>
      <c r="V216" s="1">
        <v>45658</v>
      </c>
      <c r="W216">
        <v>50</v>
      </c>
      <c r="X216">
        <v>7.14</v>
      </c>
      <c r="Y216">
        <v>42</v>
      </c>
      <c r="Z216">
        <v>0</v>
      </c>
      <c r="AA216">
        <v>0</v>
      </c>
      <c r="AB216">
        <v>2</v>
      </c>
      <c r="AC216">
        <v>0</v>
      </c>
      <c r="AD216">
        <f t="shared" ca="1" si="3"/>
        <v>5</v>
      </c>
      <c r="AE216">
        <f>AVERAGE(Table1[[#This Row],[Runs Conceded]]/Table1[[#This Row],[Wickets Taken]])</f>
        <v>50</v>
      </c>
    </row>
    <row r="217" spans="1:31" x14ac:dyDescent="0.3">
      <c r="A217" t="s">
        <v>211</v>
      </c>
      <c r="B217" t="s">
        <v>116</v>
      </c>
      <c r="C217" t="s">
        <v>30</v>
      </c>
      <c r="D217">
        <v>5</v>
      </c>
      <c r="E217">
        <v>3</v>
      </c>
      <c r="F217">
        <v>3</v>
      </c>
      <c r="G217">
        <v>20</v>
      </c>
      <c r="H217" t="s">
        <v>54</v>
      </c>
      <c r="I217" t="s">
        <v>37</v>
      </c>
      <c r="J217">
        <v>17</v>
      </c>
      <c r="K217">
        <v>117.64</v>
      </c>
      <c r="L217">
        <v>0</v>
      </c>
      <c r="M217">
        <v>0</v>
      </c>
      <c r="N217">
        <v>0</v>
      </c>
      <c r="O217">
        <v>1</v>
      </c>
      <c r="P217">
        <v>1</v>
      </c>
      <c r="Q217">
        <v>5</v>
      </c>
      <c r="R217">
        <v>20</v>
      </c>
      <c r="S217">
        <v>1</v>
      </c>
      <c r="T217">
        <v>141</v>
      </c>
      <c r="U217">
        <v>7</v>
      </c>
      <c r="V217" s="1">
        <v>46082</v>
      </c>
      <c r="W217">
        <v>20.14</v>
      </c>
      <c r="X217">
        <v>7.05</v>
      </c>
      <c r="Y217">
        <v>17.100000000000001</v>
      </c>
      <c r="Z217">
        <v>0</v>
      </c>
      <c r="AA217">
        <v>0</v>
      </c>
      <c r="AB217">
        <v>1</v>
      </c>
      <c r="AC217">
        <v>0</v>
      </c>
      <c r="AD217">
        <f t="shared" ca="1" si="3"/>
        <v>10</v>
      </c>
      <c r="AE217">
        <f>AVERAGE(Table1[[#This Row],[Runs Conceded]]/Table1[[#This Row],[Wickets Taken]])</f>
        <v>20.142857142857142</v>
      </c>
    </row>
    <row r="218" spans="1:31" x14ac:dyDescent="0.3">
      <c r="A218" t="s">
        <v>211</v>
      </c>
      <c r="B218" t="s">
        <v>174</v>
      </c>
      <c r="C218" t="s">
        <v>32</v>
      </c>
      <c r="D218">
        <v>14</v>
      </c>
      <c r="E218">
        <v>14</v>
      </c>
      <c r="F218">
        <v>0</v>
      </c>
      <c r="G218">
        <v>512</v>
      </c>
      <c r="H218">
        <v>72</v>
      </c>
      <c r="I218">
        <v>36.57</v>
      </c>
      <c r="J218">
        <v>384</v>
      </c>
      <c r="K218">
        <v>133.33000000000001</v>
      </c>
      <c r="L218">
        <v>0</v>
      </c>
      <c r="M218">
        <v>4</v>
      </c>
      <c r="N218">
        <v>1</v>
      </c>
      <c r="O218">
        <v>61</v>
      </c>
      <c r="P218">
        <v>16</v>
      </c>
      <c r="Q218" t="s">
        <v>37</v>
      </c>
      <c r="R218" t="s">
        <v>37</v>
      </c>
      <c r="S218" t="s">
        <v>37</v>
      </c>
      <c r="T218" t="s">
        <v>37</v>
      </c>
      <c r="U218" t="s">
        <v>37</v>
      </c>
      <c r="V218" t="s">
        <v>37</v>
      </c>
      <c r="W218" t="s">
        <v>37</v>
      </c>
      <c r="X218" t="s">
        <v>37</v>
      </c>
      <c r="Y218" t="s">
        <v>37</v>
      </c>
      <c r="Z218" t="s">
        <v>37</v>
      </c>
      <c r="AA218" t="s">
        <v>37</v>
      </c>
      <c r="AB218">
        <v>8</v>
      </c>
      <c r="AC218">
        <v>0</v>
      </c>
      <c r="AD218">
        <f t="shared" ca="1" si="3"/>
        <v>4</v>
      </c>
      <c r="AE218" t="e">
        <f>AVERAGE(Table1[[#This Row],[Runs Conceded]]/Table1[[#This Row],[Wickets Taken]])</f>
        <v>#VALUE!</v>
      </c>
    </row>
    <row r="219" spans="1:31" x14ac:dyDescent="0.3">
      <c r="A219" t="s">
        <v>211</v>
      </c>
      <c r="B219" t="s">
        <v>174</v>
      </c>
      <c r="C219" t="s">
        <v>92</v>
      </c>
      <c r="D219">
        <v>16</v>
      </c>
      <c r="E219">
        <v>15</v>
      </c>
      <c r="F219">
        <v>2</v>
      </c>
      <c r="G219">
        <v>424</v>
      </c>
      <c r="H219" t="s">
        <v>212</v>
      </c>
      <c r="I219">
        <v>32.61</v>
      </c>
      <c r="J219">
        <v>324</v>
      </c>
      <c r="K219">
        <v>130.86000000000001</v>
      </c>
      <c r="L219">
        <v>0</v>
      </c>
      <c r="M219">
        <v>2</v>
      </c>
      <c r="N219">
        <v>0</v>
      </c>
      <c r="O219">
        <v>45</v>
      </c>
      <c r="P219">
        <v>10</v>
      </c>
      <c r="Q219" t="s">
        <v>37</v>
      </c>
      <c r="R219" t="s">
        <v>37</v>
      </c>
      <c r="S219" t="s">
        <v>37</v>
      </c>
      <c r="T219" t="s">
        <v>37</v>
      </c>
      <c r="U219" t="s">
        <v>37</v>
      </c>
      <c r="V219" t="s">
        <v>37</v>
      </c>
      <c r="W219" t="s">
        <v>37</v>
      </c>
      <c r="X219" t="s">
        <v>37</v>
      </c>
      <c r="Y219" t="s">
        <v>37</v>
      </c>
      <c r="Z219" t="s">
        <v>37</v>
      </c>
      <c r="AA219" t="s">
        <v>37</v>
      </c>
      <c r="AB219">
        <v>9</v>
      </c>
      <c r="AC219">
        <v>0</v>
      </c>
      <c r="AD219">
        <f t="shared" ca="1" si="3"/>
        <v>10</v>
      </c>
      <c r="AE219" t="e">
        <f>AVERAGE(Table1[[#This Row],[Runs Conceded]]/Table1[[#This Row],[Wickets Taken]])</f>
        <v>#VALUE!</v>
      </c>
    </row>
    <row r="220" spans="1:31" x14ac:dyDescent="0.3">
      <c r="A220" t="s">
        <v>211</v>
      </c>
      <c r="B220" t="s">
        <v>213</v>
      </c>
      <c r="C220" t="s">
        <v>28</v>
      </c>
      <c r="D220">
        <v>14</v>
      </c>
      <c r="E220">
        <v>14</v>
      </c>
      <c r="F220">
        <v>3</v>
      </c>
      <c r="G220">
        <v>489</v>
      </c>
      <c r="H220" t="s">
        <v>190</v>
      </c>
      <c r="I220">
        <v>44.45</v>
      </c>
      <c r="J220">
        <v>368</v>
      </c>
      <c r="K220">
        <v>132.88</v>
      </c>
      <c r="L220">
        <v>0</v>
      </c>
      <c r="M220">
        <v>5</v>
      </c>
      <c r="N220">
        <v>1</v>
      </c>
      <c r="O220">
        <v>49</v>
      </c>
      <c r="P220">
        <v>16</v>
      </c>
      <c r="Q220" t="s">
        <v>37</v>
      </c>
      <c r="R220" t="s">
        <v>37</v>
      </c>
      <c r="S220" t="s">
        <v>37</v>
      </c>
      <c r="T220" t="s">
        <v>37</v>
      </c>
      <c r="U220" t="s">
        <v>37</v>
      </c>
      <c r="V220" t="s">
        <v>37</v>
      </c>
      <c r="W220" t="s">
        <v>37</v>
      </c>
      <c r="X220" t="s">
        <v>37</v>
      </c>
      <c r="Y220" t="s">
        <v>37</v>
      </c>
      <c r="Z220" t="s">
        <v>37</v>
      </c>
      <c r="AA220" t="s">
        <v>37</v>
      </c>
      <c r="AB220">
        <v>2</v>
      </c>
      <c r="AC220">
        <v>0</v>
      </c>
      <c r="AD220">
        <f t="shared" ca="1" si="3"/>
        <v>11</v>
      </c>
      <c r="AE220" t="e">
        <f>AVERAGE(Table1[[#This Row],[Runs Conceded]]/Table1[[#This Row],[Wickets Taken]])</f>
        <v>#VALUE!</v>
      </c>
    </row>
    <row r="221" spans="1:31" x14ac:dyDescent="0.3">
      <c r="A221" t="s">
        <v>211</v>
      </c>
      <c r="B221" t="s">
        <v>213</v>
      </c>
      <c r="C221" t="s">
        <v>30</v>
      </c>
      <c r="D221">
        <v>17</v>
      </c>
      <c r="E221">
        <v>16</v>
      </c>
      <c r="F221">
        <v>2</v>
      </c>
      <c r="G221">
        <v>333</v>
      </c>
      <c r="H221">
        <v>67</v>
      </c>
      <c r="I221">
        <v>23.78</v>
      </c>
      <c r="J221">
        <v>273</v>
      </c>
      <c r="K221">
        <v>121.97</v>
      </c>
      <c r="L221">
        <v>0</v>
      </c>
      <c r="M221">
        <v>3</v>
      </c>
      <c r="N221">
        <v>1</v>
      </c>
      <c r="O221">
        <v>31</v>
      </c>
      <c r="P221">
        <v>9</v>
      </c>
      <c r="Q221" t="s">
        <v>37</v>
      </c>
      <c r="R221" t="s">
        <v>37</v>
      </c>
      <c r="S221" t="s">
        <v>37</v>
      </c>
      <c r="T221" t="s">
        <v>37</v>
      </c>
      <c r="U221" t="s">
        <v>37</v>
      </c>
      <c r="V221" t="s">
        <v>37</v>
      </c>
      <c r="W221" t="s">
        <v>37</v>
      </c>
      <c r="X221" t="s">
        <v>37</v>
      </c>
      <c r="Y221" t="s">
        <v>37</v>
      </c>
      <c r="Z221" t="s">
        <v>37</v>
      </c>
      <c r="AA221" t="s">
        <v>37</v>
      </c>
      <c r="AB221">
        <v>10</v>
      </c>
      <c r="AC221">
        <v>0</v>
      </c>
      <c r="AD221">
        <f t="shared" ca="1" si="3"/>
        <v>5</v>
      </c>
      <c r="AE221" t="e">
        <f>AVERAGE(Table1[[#This Row],[Runs Conceded]]/Table1[[#This Row],[Wickets Taken]])</f>
        <v>#VALUE!</v>
      </c>
    </row>
    <row r="222" spans="1:31" x14ac:dyDescent="0.3">
      <c r="A222" t="s">
        <v>211</v>
      </c>
      <c r="B222" t="s">
        <v>213</v>
      </c>
      <c r="C222" t="s">
        <v>32</v>
      </c>
      <c r="D222">
        <v>14</v>
      </c>
      <c r="E222">
        <v>14</v>
      </c>
      <c r="F222">
        <v>2</v>
      </c>
      <c r="G222">
        <v>286</v>
      </c>
      <c r="H222">
        <v>94</v>
      </c>
      <c r="I222">
        <v>23.83</v>
      </c>
      <c r="J222">
        <v>215</v>
      </c>
      <c r="K222">
        <v>133.02000000000001</v>
      </c>
      <c r="L222">
        <v>0</v>
      </c>
      <c r="M222">
        <v>2</v>
      </c>
      <c r="N222">
        <v>3</v>
      </c>
      <c r="O222">
        <v>25</v>
      </c>
      <c r="P222">
        <v>12</v>
      </c>
      <c r="Q222" t="s">
        <v>37</v>
      </c>
      <c r="R222" t="s">
        <v>37</v>
      </c>
      <c r="S222" t="s">
        <v>37</v>
      </c>
      <c r="T222" t="s">
        <v>37</v>
      </c>
      <c r="U222" t="s">
        <v>37</v>
      </c>
      <c r="V222" t="s">
        <v>37</v>
      </c>
      <c r="W222" t="s">
        <v>37</v>
      </c>
      <c r="X222" t="s">
        <v>37</v>
      </c>
      <c r="Y222" t="s">
        <v>37</v>
      </c>
      <c r="Z222" t="s">
        <v>37</v>
      </c>
      <c r="AA222" t="s">
        <v>37</v>
      </c>
      <c r="AB222">
        <v>8</v>
      </c>
      <c r="AC222">
        <v>0</v>
      </c>
      <c r="AD222">
        <f t="shared" ca="1" si="3"/>
        <v>18</v>
      </c>
      <c r="AE222" t="e">
        <f>AVERAGE(Table1[[#This Row],[Runs Conceded]]/Table1[[#This Row],[Wickets Taken]])</f>
        <v>#VALUE!</v>
      </c>
    </row>
    <row r="223" spans="1:31" x14ac:dyDescent="0.3">
      <c r="A223" t="s">
        <v>211</v>
      </c>
      <c r="B223" t="s">
        <v>213</v>
      </c>
      <c r="C223" t="s">
        <v>92</v>
      </c>
      <c r="D223">
        <v>15</v>
      </c>
      <c r="E223">
        <v>15</v>
      </c>
      <c r="F223">
        <v>1</v>
      </c>
      <c r="G223">
        <v>405</v>
      </c>
      <c r="H223">
        <v>67</v>
      </c>
      <c r="I223">
        <v>28.92</v>
      </c>
      <c r="J223">
        <v>315</v>
      </c>
      <c r="K223">
        <v>128.57</v>
      </c>
      <c r="L223">
        <v>0</v>
      </c>
      <c r="M223">
        <v>2</v>
      </c>
      <c r="N223">
        <v>0</v>
      </c>
      <c r="O223">
        <v>52</v>
      </c>
      <c r="P223">
        <v>10</v>
      </c>
      <c r="Q223" t="s">
        <v>37</v>
      </c>
      <c r="R223" t="s">
        <v>37</v>
      </c>
      <c r="S223" t="s">
        <v>37</v>
      </c>
      <c r="T223" t="s">
        <v>37</v>
      </c>
      <c r="U223" t="s">
        <v>37</v>
      </c>
      <c r="V223" t="s">
        <v>37</v>
      </c>
      <c r="W223" t="s">
        <v>37</v>
      </c>
      <c r="X223" t="s">
        <v>37</v>
      </c>
      <c r="Y223" t="s">
        <v>37</v>
      </c>
      <c r="Z223" t="s">
        <v>37</v>
      </c>
      <c r="AA223" t="s">
        <v>37</v>
      </c>
      <c r="AB223">
        <v>4</v>
      </c>
      <c r="AC223">
        <v>0</v>
      </c>
      <c r="AD223">
        <f t="shared" ca="1" si="3"/>
        <v>16</v>
      </c>
      <c r="AE223" t="e">
        <f>AVERAGE(Table1[[#This Row],[Runs Conceded]]/Table1[[#This Row],[Wickets Taken]])</f>
        <v>#VALUE!</v>
      </c>
    </row>
    <row r="224" spans="1:31" x14ac:dyDescent="0.3">
      <c r="A224" t="s">
        <v>211</v>
      </c>
      <c r="B224" t="s">
        <v>214</v>
      </c>
      <c r="C224" t="s">
        <v>28</v>
      </c>
      <c r="D224">
        <v>12</v>
      </c>
      <c r="E224">
        <v>9</v>
      </c>
      <c r="F224">
        <v>3</v>
      </c>
      <c r="G224">
        <v>237</v>
      </c>
      <c r="H224">
        <v>86</v>
      </c>
      <c r="I224">
        <v>39.5</v>
      </c>
      <c r="J224">
        <v>124</v>
      </c>
      <c r="K224">
        <v>191.12</v>
      </c>
      <c r="L224">
        <v>0</v>
      </c>
      <c r="M224">
        <v>1</v>
      </c>
      <c r="N224">
        <v>0</v>
      </c>
      <c r="O224">
        <v>22</v>
      </c>
      <c r="P224">
        <v>13</v>
      </c>
      <c r="Q224">
        <v>11</v>
      </c>
      <c r="R224">
        <v>31.1</v>
      </c>
      <c r="S224">
        <v>0</v>
      </c>
      <c r="T224">
        <v>236</v>
      </c>
      <c r="U224">
        <v>6</v>
      </c>
      <c r="V224" s="1">
        <v>42036</v>
      </c>
      <c r="W224">
        <v>39.33</v>
      </c>
      <c r="X224">
        <v>7.57</v>
      </c>
      <c r="Y224">
        <v>31.1</v>
      </c>
      <c r="Z224">
        <v>0</v>
      </c>
      <c r="AA224">
        <v>0</v>
      </c>
      <c r="AB224">
        <v>2</v>
      </c>
      <c r="AC224">
        <v>0</v>
      </c>
      <c r="AD224">
        <f t="shared" ca="1" si="3"/>
        <v>5</v>
      </c>
      <c r="AE224">
        <f>AVERAGE(Table1[[#This Row],[Runs Conceded]]/Table1[[#This Row],[Wickets Taken]])</f>
        <v>39.333333333333336</v>
      </c>
    </row>
    <row r="225" spans="1:31" x14ac:dyDescent="0.3">
      <c r="A225" t="s">
        <v>211</v>
      </c>
      <c r="B225" t="s">
        <v>214</v>
      </c>
      <c r="C225" t="s">
        <v>30</v>
      </c>
      <c r="D225">
        <v>13</v>
      </c>
      <c r="E225">
        <v>11</v>
      </c>
      <c r="F225">
        <v>4</v>
      </c>
      <c r="G225">
        <v>243</v>
      </c>
      <c r="H225">
        <v>47</v>
      </c>
      <c r="I225">
        <v>34.71</v>
      </c>
      <c r="J225">
        <v>179</v>
      </c>
      <c r="K225">
        <v>135.75</v>
      </c>
      <c r="L225">
        <v>0</v>
      </c>
      <c r="M225">
        <v>0</v>
      </c>
      <c r="N225">
        <v>0</v>
      </c>
      <c r="O225">
        <v>24</v>
      </c>
      <c r="P225">
        <v>7</v>
      </c>
      <c r="Q225">
        <v>13</v>
      </c>
      <c r="R225">
        <v>40</v>
      </c>
      <c r="S225">
        <v>0</v>
      </c>
      <c r="T225">
        <v>273</v>
      </c>
      <c r="U225">
        <v>10</v>
      </c>
      <c r="V225" s="1">
        <v>41699</v>
      </c>
      <c r="W225">
        <v>27.3</v>
      </c>
      <c r="X225">
        <v>6.82</v>
      </c>
      <c r="Y225">
        <v>24</v>
      </c>
      <c r="Z225">
        <v>0</v>
      </c>
      <c r="AA225">
        <v>0</v>
      </c>
      <c r="AB225">
        <v>2</v>
      </c>
      <c r="AC225">
        <v>0</v>
      </c>
      <c r="AD225">
        <f t="shared" ca="1" si="3"/>
        <v>10</v>
      </c>
      <c r="AE225">
        <f>AVERAGE(Table1[[#This Row],[Runs Conceded]]/Table1[[#This Row],[Wickets Taken]])</f>
        <v>27.3</v>
      </c>
    </row>
    <row r="226" spans="1:31" x14ac:dyDescent="0.3">
      <c r="A226" t="s">
        <v>211</v>
      </c>
      <c r="B226" t="s">
        <v>214</v>
      </c>
      <c r="C226" t="s">
        <v>32</v>
      </c>
      <c r="D226">
        <v>14</v>
      </c>
      <c r="E226">
        <v>13</v>
      </c>
      <c r="F226">
        <v>3</v>
      </c>
      <c r="G226">
        <v>228</v>
      </c>
      <c r="H226" t="s">
        <v>71</v>
      </c>
      <c r="I226">
        <v>22.8</v>
      </c>
      <c r="J226">
        <v>157</v>
      </c>
      <c r="K226">
        <v>145.22</v>
      </c>
      <c r="L226">
        <v>0</v>
      </c>
      <c r="M226">
        <v>0</v>
      </c>
      <c r="N226">
        <v>0</v>
      </c>
      <c r="O226">
        <v>22</v>
      </c>
      <c r="P226">
        <v>10</v>
      </c>
      <c r="Q226">
        <v>13</v>
      </c>
      <c r="R226">
        <v>40.1</v>
      </c>
      <c r="S226">
        <v>0</v>
      </c>
      <c r="T226">
        <v>284</v>
      </c>
      <c r="U226">
        <v>12</v>
      </c>
      <c r="V226" s="1">
        <v>46813</v>
      </c>
      <c r="W226">
        <v>23.66</v>
      </c>
      <c r="X226">
        <v>7.07</v>
      </c>
      <c r="Y226">
        <v>20</v>
      </c>
      <c r="Z226">
        <v>0</v>
      </c>
      <c r="AA226">
        <v>0</v>
      </c>
      <c r="AB226">
        <v>9</v>
      </c>
      <c r="AC226">
        <v>0</v>
      </c>
      <c r="AD226">
        <f t="shared" ca="1" si="3"/>
        <v>5</v>
      </c>
      <c r="AE226">
        <f>AVERAGE(Table1[[#This Row],[Runs Conceded]]/Table1[[#This Row],[Wickets Taken]])</f>
        <v>23.666666666666668</v>
      </c>
    </row>
    <row r="227" spans="1:31" x14ac:dyDescent="0.3">
      <c r="A227" t="s">
        <v>211</v>
      </c>
      <c r="B227" t="s">
        <v>214</v>
      </c>
      <c r="C227" t="s">
        <v>92</v>
      </c>
      <c r="D227">
        <v>16</v>
      </c>
      <c r="E227">
        <v>15</v>
      </c>
      <c r="F227">
        <v>4</v>
      </c>
      <c r="G227">
        <v>183</v>
      </c>
      <c r="H227">
        <v>42</v>
      </c>
      <c r="I227">
        <v>16.63</v>
      </c>
      <c r="J227">
        <v>150</v>
      </c>
      <c r="K227">
        <v>122</v>
      </c>
      <c r="L227">
        <v>0</v>
      </c>
      <c r="M227">
        <v>0</v>
      </c>
      <c r="N227">
        <v>1</v>
      </c>
      <c r="O227">
        <v>18</v>
      </c>
      <c r="P227">
        <v>5</v>
      </c>
      <c r="Q227">
        <v>16</v>
      </c>
      <c r="R227">
        <v>46</v>
      </c>
      <c r="S227">
        <v>0</v>
      </c>
      <c r="T227">
        <v>335</v>
      </c>
      <c r="U227">
        <v>12</v>
      </c>
      <c r="V227" s="1">
        <v>12479</v>
      </c>
      <c r="W227">
        <v>27.91</v>
      </c>
      <c r="X227">
        <v>7.28</v>
      </c>
      <c r="Y227">
        <v>23</v>
      </c>
      <c r="Z227">
        <v>0</v>
      </c>
      <c r="AA227">
        <v>0</v>
      </c>
      <c r="AB227">
        <v>5</v>
      </c>
      <c r="AC227">
        <v>0</v>
      </c>
      <c r="AD227">
        <f t="shared" ca="1" si="3"/>
        <v>15</v>
      </c>
      <c r="AE227">
        <f>AVERAGE(Table1[[#This Row],[Runs Conceded]]/Table1[[#This Row],[Wickets Taken]])</f>
        <v>27.916666666666668</v>
      </c>
    </row>
    <row r="228" spans="1:31" x14ac:dyDescent="0.3">
      <c r="A228" t="s">
        <v>211</v>
      </c>
      <c r="B228" t="s">
        <v>189</v>
      </c>
      <c r="C228" t="s">
        <v>28</v>
      </c>
      <c r="D228">
        <v>4</v>
      </c>
      <c r="E228">
        <v>3</v>
      </c>
      <c r="F228">
        <v>0</v>
      </c>
      <c r="G228">
        <v>104</v>
      </c>
      <c r="H228">
        <v>70</v>
      </c>
      <c r="I228">
        <v>34.659999999999997</v>
      </c>
      <c r="J228">
        <v>75</v>
      </c>
      <c r="K228">
        <v>138.66</v>
      </c>
      <c r="L228">
        <v>0</v>
      </c>
      <c r="M228">
        <v>1</v>
      </c>
      <c r="N228">
        <v>0</v>
      </c>
      <c r="O228">
        <v>7</v>
      </c>
      <c r="P228">
        <v>8</v>
      </c>
      <c r="Q228">
        <v>1</v>
      </c>
      <c r="R228">
        <v>1</v>
      </c>
      <c r="S228">
        <v>0</v>
      </c>
      <c r="T228">
        <v>3</v>
      </c>
      <c r="U228">
        <v>0</v>
      </c>
      <c r="V228" t="s">
        <v>37</v>
      </c>
      <c r="W228" t="s">
        <v>37</v>
      </c>
      <c r="X228">
        <v>3</v>
      </c>
      <c r="Y228" t="s">
        <v>37</v>
      </c>
      <c r="Z228">
        <v>0</v>
      </c>
      <c r="AA228">
        <v>0</v>
      </c>
      <c r="AB228">
        <v>0</v>
      </c>
      <c r="AC228">
        <v>0</v>
      </c>
      <c r="AD228">
        <f t="shared" ca="1" si="3"/>
        <v>13</v>
      </c>
      <c r="AE228" t="e">
        <f>AVERAGE(Table1[[#This Row],[Runs Conceded]]/Table1[[#This Row],[Wickets Taken]])</f>
        <v>#DIV/0!</v>
      </c>
    </row>
    <row r="229" spans="1:31" x14ac:dyDescent="0.3">
      <c r="A229" t="s">
        <v>211</v>
      </c>
      <c r="B229" t="s">
        <v>189</v>
      </c>
      <c r="C229" t="s">
        <v>30</v>
      </c>
      <c r="D229">
        <v>13</v>
      </c>
      <c r="E229">
        <v>12</v>
      </c>
      <c r="F229">
        <v>1</v>
      </c>
      <c r="G229">
        <v>333</v>
      </c>
      <c r="H229" t="s">
        <v>215</v>
      </c>
      <c r="I229">
        <v>30.27</v>
      </c>
      <c r="J229">
        <v>264</v>
      </c>
      <c r="K229">
        <v>126.13</v>
      </c>
      <c r="L229">
        <v>0</v>
      </c>
      <c r="M229">
        <v>3</v>
      </c>
      <c r="N229">
        <v>0</v>
      </c>
      <c r="O229">
        <v>24</v>
      </c>
      <c r="P229">
        <v>17</v>
      </c>
      <c r="Q229" t="s">
        <v>37</v>
      </c>
      <c r="R229" t="s">
        <v>37</v>
      </c>
      <c r="S229" t="s">
        <v>37</v>
      </c>
      <c r="T229" t="s">
        <v>37</v>
      </c>
      <c r="U229" t="s">
        <v>37</v>
      </c>
      <c r="V229" t="s">
        <v>37</v>
      </c>
      <c r="W229" t="s">
        <v>37</v>
      </c>
      <c r="X229" t="s">
        <v>37</v>
      </c>
      <c r="Y229" t="s">
        <v>37</v>
      </c>
      <c r="Z229" t="s">
        <v>37</v>
      </c>
      <c r="AA229" t="s">
        <v>37</v>
      </c>
      <c r="AB229">
        <v>4</v>
      </c>
      <c r="AC229">
        <v>0</v>
      </c>
      <c r="AD229">
        <f t="shared" ca="1" si="3"/>
        <v>11</v>
      </c>
      <c r="AE229" t="e">
        <f>AVERAGE(Table1[[#This Row],[Runs Conceded]]/Table1[[#This Row],[Wickets Taken]])</f>
        <v>#VALUE!</v>
      </c>
    </row>
    <row r="230" spans="1:31" x14ac:dyDescent="0.3">
      <c r="A230" t="s">
        <v>211</v>
      </c>
      <c r="B230" t="s">
        <v>216</v>
      </c>
      <c r="C230" t="s">
        <v>28</v>
      </c>
      <c r="D230">
        <v>14</v>
      </c>
      <c r="E230">
        <v>7</v>
      </c>
      <c r="F230">
        <v>4</v>
      </c>
      <c r="G230">
        <v>92</v>
      </c>
      <c r="H230" t="s">
        <v>217</v>
      </c>
      <c r="I230">
        <v>30.66</v>
      </c>
      <c r="J230">
        <v>84</v>
      </c>
      <c r="K230">
        <v>109.52</v>
      </c>
      <c r="L230">
        <v>0</v>
      </c>
      <c r="M230">
        <v>0</v>
      </c>
      <c r="N230">
        <v>1</v>
      </c>
      <c r="O230">
        <v>11</v>
      </c>
      <c r="P230">
        <v>2</v>
      </c>
      <c r="Q230">
        <v>14</v>
      </c>
      <c r="R230">
        <v>49</v>
      </c>
      <c r="S230">
        <v>0</v>
      </c>
      <c r="T230">
        <v>392</v>
      </c>
      <c r="U230">
        <v>9</v>
      </c>
      <c r="V230" s="1">
        <v>47150</v>
      </c>
      <c r="W230">
        <v>43.55</v>
      </c>
      <c r="X230">
        <v>8</v>
      </c>
      <c r="Y230">
        <v>32.6</v>
      </c>
      <c r="Z230">
        <v>0</v>
      </c>
      <c r="AA230">
        <v>0</v>
      </c>
      <c r="AB230">
        <v>4</v>
      </c>
      <c r="AC230">
        <v>0</v>
      </c>
      <c r="AD230">
        <f t="shared" ca="1" si="3"/>
        <v>5</v>
      </c>
      <c r="AE230">
        <f>AVERAGE(Table1[[#This Row],[Runs Conceded]]/Table1[[#This Row],[Wickets Taken]])</f>
        <v>43.555555555555557</v>
      </c>
    </row>
    <row r="231" spans="1:31" x14ac:dyDescent="0.3">
      <c r="A231" t="s">
        <v>211</v>
      </c>
      <c r="B231" t="s">
        <v>216</v>
      </c>
      <c r="C231" t="s">
        <v>30</v>
      </c>
      <c r="D231">
        <v>11</v>
      </c>
      <c r="E231">
        <v>7</v>
      </c>
      <c r="F231">
        <v>5</v>
      </c>
      <c r="G231">
        <v>16</v>
      </c>
      <c r="H231" t="s">
        <v>57</v>
      </c>
      <c r="I231">
        <v>8</v>
      </c>
      <c r="J231">
        <v>16</v>
      </c>
      <c r="K231">
        <v>100</v>
      </c>
      <c r="L231">
        <v>0</v>
      </c>
      <c r="M231">
        <v>0</v>
      </c>
      <c r="N231">
        <v>1</v>
      </c>
      <c r="O231">
        <v>0</v>
      </c>
      <c r="P231">
        <v>1</v>
      </c>
      <c r="Q231">
        <v>11</v>
      </c>
      <c r="R231">
        <v>41</v>
      </c>
      <c r="S231">
        <v>0</v>
      </c>
      <c r="T231">
        <v>266</v>
      </c>
      <c r="U231">
        <v>8</v>
      </c>
      <c r="V231" s="1">
        <v>44621</v>
      </c>
      <c r="W231">
        <v>33.25</v>
      </c>
      <c r="X231">
        <v>6.48</v>
      </c>
      <c r="Y231">
        <v>30.7</v>
      </c>
      <c r="Z231">
        <v>0</v>
      </c>
      <c r="AA231">
        <v>0</v>
      </c>
      <c r="AB231">
        <v>2</v>
      </c>
      <c r="AC231">
        <v>0</v>
      </c>
      <c r="AD231">
        <f t="shared" ca="1" si="3"/>
        <v>13</v>
      </c>
      <c r="AE231">
        <f>AVERAGE(Table1[[#This Row],[Runs Conceded]]/Table1[[#This Row],[Wickets Taken]])</f>
        <v>33.25</v>
      </c>
    </row>
    <row r="232" spans="1:31" x14ac:dyDescent="0.3">
      <c r="A232" t="s">
        <v>211</v>
      </c>
      <c r="B232" t="s">
        <v>218</v>
      </c>
      <c r="C232" t="s">
        <v>28</v>
      </c>
      <c r="D232">
        <v>13</v>
      </c>
      <c r="E232">
        <v>12</v>
      </c>
      <c r="F232">
        <v>1</v>
      </c>
      <c r="G232">
        <v>334</v>
      </c>
      <c r="H232">
        <v>65</v>
      </c>
      <c r="I232">
        <v>30.36</v>
      </c>
      <c r="J232">
        <v>278</v>
      </c>
      <c r="K232">
        <v>120.14</v>
      </c>
      <c r="L232">
        <v>0</v>
      </c>
      <c r="M232">
        <v>2</v>
      </c>
      <c r="N232">
        <v>1</v>
      </c>
      <c r="O232">
        <v>28</v>
      </c>
      <c r="P232">
        <v>12</v>
      </c>
      <c r="Q232" t="s">
        <v>37</v>
      </c>
      <c r="R232" t="s">
        <v>37</v>
      </c>
      <c r="S232" t="s">
        <v>37</v>
      </c>
      <c r="T232" t="s">
        <v>37</v>
      </c>
      <c r="U232" t="s">
        <v>37</v>
      </c>
      <c r="V232" t="s">
        <v>37</v>
      </c>
      <c r="W232" t="s">
        <v>37</v>
      </c>
      <c r="X232" t="s">
        <v>37</v>
      </c>
      <c r="Y232" t="s">
        <v>37</v>
      </c>
      <c r="Z232" t="s">
        <v>37</v>
      </c>
      <c r="AA232" t="s">
        <v>37</v>
      </c>
      <c r="AB232">
        <v>4</v>
      </c>
      <c r="AC232">
        <v>0</v>
      </c>
      <c r="AD232">
        <f t="shared" ca="1" si="3"/>
        <v>13</v>
      </c>
      <c r="AE232" t="e">
        <f>AVERAGE(Table1[[#This Row],[Runs Conceded]]/Table1[[#This Row],[Wickets Taken]])</f>
        <v>#VALUE!</v>
      </c>
    </row>
    <row r="233" spans="1:31" x14ac:dyDescent="0.3">
      <c r="A233" t="s">
        <v>211</v>
      </c>
      <c r="B233" t="s">
        <v>218</v>
      </c>
      <c r="C233" t="s">
        <v>30</v>
      </c>
      <c r="D233">
        <v>5</v>
      </c>
      <c r="E233">
        <v>5</v>
      </c>
      <c r="F233">
        <v>0</v>
      </c>
      <c r="G233">
        <v>91</v>
      </c>
      <c r="H233">
        <v>63</v>
      </c>
      <c r="I233">
        <v>18.2</v>
      </c>
      <c r="J233">
        <v>78</v>
      </c>
      <c r="K233">
        <v>116.66</v>
      </c>
      <c r="L233">
        <v>0</v>
      </c>
      <c r="M233">
        <v>1</v>
      </c>
      <c r="N233">
        <v>1</v>
      </c>
      <c r="O233">
        <v>7</v>
      </c>
      <c r="P233">
        <v>3</v>
      </c>
      <c r="Q233" t="s">
        <v>37</v>
      </c>
      <c r="R233" t="s">
        <v>37</v>
      </c>
      <c r="S233" t="s">
        <v>37</v>
      </c>
      <c r="T233" t="s">
        <v>37</v>
      </c>
      <c r="U233" t="s">
        <v>37</v>
      </c>
      <c r="V233" t="s">
        <v>37</v>
      </c>
      <c r="W233" t="s">
        <v>37</v>
      </c>
      <c r="X233" t="s">
        <v>37</v>
      </c>
      <c r="Y233" t="s">
        <v>37</v>
      </c>
      <c r="Z233" t="s">
        <v>37</v>
      </c>
      <c r="AA233" t="s">
        <v>37</v>
      </c>
      <c r="AB233">
        <v>3</v>
      </c>
      <c r="AC233">
        <v>0</v>
      </c>
      <c r="AD233">
        <f t="shared" ca="1" si="3"/>
        <v>11</v>
      </c>
      <c r="AE233" t="e">
        <f>AVERAGE(Table1[[#This Row],[Runs Conceded]]/Table1[[#This Row],[Wickets Taken]])</f>
        <v>#VALUE!</v>
      </c>
    </row>
    <row r="234" spans="1:31" x14ac:dyDescent="0.3">
      <c r="A234" t="s">
        <v>211</v>
      </c>
      <c r="B234" t="s">
        <v>219</v>
      </c>
      <c r="C234" t="s">
        <v>28</v>
      </c>
      <c r="D234">
        <v>13</v>
      </c>
      <c r="E234">
        <v>12</v>
      </c>
      <c r="F234">
        <v>4</v>
      </c>
      <c r="G234">
        <v>207</v>
      </c>
      <c r="H234" t="s">
        <v>220</v>
      </c>
      <c r="I234">
        <v>25.87</v>
      </c>
      <c r="J234">
        <v>144</v>
      </c>
      <c r="K234">
        <v>143.75</v>
      </c>
      <c r="L234">
        <v>0</v>
      </c>
      <c r="M234">
        <v>1</v>
      </c>
      <c r="N234">
        <v>0</v>
      </c>
      <c r="O234">
        <v>11</v>
      </c>
      <c r="P234">
        <v>16</v>
      </c>
      <c r="Q234">
        <v>4</v>
      </c>
      <c r="R234">
        <v>6</v>
      </c>
      <c r="S234">
        <v>0</v>
      </c>
      <c r="T234">
        <v>81</v>
      </c>
      <c r="U234">
        <v>0</v>
      </c>
      <c r="V234" t="s">
        <v>37</v>
      </c>
      <c r="W234" t="s">
        <v>37</v>
      </c>
      <c r="X234">
        <v>13.5</v>
      </c>
      <c r="Y234" t="s">
        <v>37</v>
      </c>
      <c r="Z234">
        <v>0</v>
      </c>
      <c r="AA234">
        <v>0</v>
      </c>
      <c r="AB234">
        <v>5</v>
      </c>
      <c r="AC234">
        <v>0</v>
      </c>
      <c r="AD234">
        <f t="shared" ca="1" si="3"/>
        <v>3</v>
      </c>
      <c r="AE234" t="e">
        <f>AVERAGE(Table1[[#This Row],[Runs Conceded]]/Table1[[#This Row],[Wickets Taken]])</f>
        <v>#DIV/0!</v>
      </c>
    </row>
    <row r="235" spans="1:31" x14ac:dyDescent="0.3">
      <c r="A235" t="s">
        <v>211</v>
      </c>
      <c r="B235" t="s">
        <v>219</v>
      </c>
      <c r="C235" t="s">
        <v>30</v>
      </c>
      <c r="D235">
        <v>17</v>
      </c>
      <c r="E235">
        <v>16</v>
      </c>
      <c r="F235">
        <v>3</v>
      </c>
      <c r="G235">
        <v>385</v>
      </c>
      <c r="H235">
        <v>70</v>
      </c>
      <c r="I235">
        <v>29.61</v>
      </c>
      <c r="J235">
        <v>276</v>
      </c>
      <c r="K235">
        <v>139.49</v>
      </c>
      <c r="L235">
        <v>0</v>
      </c>
      <c r="M235">
        <v>3</v>
      </c>
      <c r="N235">
        <v>0</v>
      </c>
      <c r="O235">
        <v>26</v>
      </c>
      <c r="P235">
        <v>22</v>
      </c>
      <c r="Q235">
        <v>1</v>
      </c>
      <c r="R235">
        <v>1.5</v>
      </c>
      <c r="S235">
        <v>0</v>
      </c>
      <c r="T235">
        <v>30</v>
      </c>
      <c r="U235">
        <v>0</v>
      </c>
      <c r="V235" t="s">
        <v>37</v>
      </c>
      <c r="W235" t="s">
        <v>37</v>
      </c>
      <c r="X235">
        <v>16.36</v>
      </c>
      <c r="Y235" t="s">
        <v>37</v>
      </c>
      <c r="Z235">
        <v>0</v>
      </c>
      <c r="AA235">
        <v>0</v>
      </c>
      <c r="AB235">
        <v>15</v>
      </c>
      <c r="AC235">
        <v>0</v>
      </c>
      <c r="AD235">
        <f t="shared" ca="1" si="3"/>
        <v>6</v>
      </c>
      <c r="AE235" t="e">
        <f>AVERAGE(Table1[[#This Row],[Runs Conceded]]/Table1[[#This Row],[Wickets Taken]])</f>
        <v>#DIV/0!</v>
      </c>
    </row>
    <row r="236" spans="1:31" x14ac:dyDescent="0.3">
      <c r="A236" t="s">
        <v>211</v>
      </c>
      <c r="B236" t="s">
        <v>219</v>
      </c>
      <c r="C236" t="s">
        <v>32</v>
      </c>
      <c r="D236">
        <v>9</v>
      </c>
      <c r="E236">
        <v>8</v>
      </c>
      <c r="F236">
        <v>1</v>
      </c>
      <c r="G236">
        <v>133</v>
      </c>
      <c r="H236">
        <v>50</v>
      </c>
      <c r="I236">
        <v>19</v>
      </c>
      <c r="J236">
        <v>100</v>
      </c>
      <c r="K236">
        <v>133</v>
      </c>
      <c r="L236">
        <v>0</v>
      </c>
      <c r="M236">
        <v>1</v>
      </c>
      <c r="N236">
        <v>1</v>
      </c>
      <c r="O236">
        <v>10</v>
      </c>
      <c r="P236">
        <v>7</v>
      </c>
      <c r="Q236" t="s">
        <v>37</v>
      </c>
      <c r="R236" t="s">
        <v>37</v>
      </c>
      <c r="S236" t="s">
        <v>37</v>
      </c>
      <c r="T236" t="s">
        <v>37</v>
      </c>
      <c r="U236" t="s">
        <v>37</v>
      </c>
      <c r="V236" t="s">
        <v>37</v>
      </c>
      <c r="W236" t="s">
        <v>37</v>
      </c>
      <c r="X236" t="s">
        <v>37</v>
      </c>
      <c r="Y236" t="s">
        <v>37</v>
      </c>
      <c r="Z236" t="s">
        <v>37</v>
      </c>
      <c r="AA236" t="s">
        <v>37</v>
      </c>
      <c r="AB236">
        <v>4</v>
      </c>
      <c r="AC236">
        <v>0</v>
      </c>
      <c r="AD236">
        <f t="shared" ca="1" si="3"/>
        <v>13</v>
      </c>
      <c r="AE236" t="e">
        <f>AVERAGE(Table1[[#This Row],[Runs Conceded]]/Table1[[#This Row],[Wickets Taken]])</f>
        <v>#VALUE!</v>
      </c>
    </row>
    <row r="237" spans="1:31" x14ac:dyDescent="0.3">
      <c r="A237" t="s">
        <v>211</v>
      </c>
      <c r="B237" t="s">
        <v>219</v>
      </c>
      <c r="C237" t="s">
        <v>92</v>
      </c>
      <c r="D237">
        <v>16</v>
      </c>
      <c r="E237">
        <v>14</v>
      </c>
      <c r="F237">
        <v>6</v>
      </c>
      <c r="G237">
        <v>279</v>
      </c>
      <c r="H237">
        <v>83</v>
      </c>
      <c r="I237">
        <v>34.869999999999997</v>
      </c>
      <c r="J237">
        <v>178</v>
      </c>
      <c r="K237">
        <v>156.74</v>
      </c>
      <c r="L237">
        <v>0</v>
      </c>
      <c r="M237">
        <v>1</v>
      </c>
      <c r="N237">
        <v>0</v>
      </c>
      <c r="O237">
        <v>14</v>
      </c>
      <c r="P237">
        <v>22</v>
      </c>
      <c r="Q237" t="s">
        <v>37</v>
      </c>
      <c r="R237" t="s">
        <v>37</v>
      </c>
      <c r="S237" t="s">
        <v>37</v>
      </c>
      <c r="T237" t="s">
        <v>37</v>
      </c>
      <c r="U237" t="s">
        <v>37</v>
      </c>
      <c r="V237" t="s">
        <v>37</v>
      </c>
      <c r="W237" t="s">
        <v>37</v>
      </c>
      <c r="X237" t="s">
        <v>37</v>
      </c>
      <c r="Y237" t="s">
        <v>37</v>
      </c>
      <c r="Z237" t="s">
        <v>37</v>
      </c>
      <c r="AA237" t="s">
        <v>37</v>
      </c>
      <c r="AB237">
        <v>8</v>
      </c>
      <c r="AC237">
        <v>0</v>
      </c>
      <c r="AD237">
        <f t="shared" ca="1" si="3"/>
        <v>17</v>
      </c>
      <c r="AE237" t="e">
        <f>AVERAGE(Table1[[#This Row],[Runs Conceded]]/Table1[[#This Row],[Wickets Taken]])</f>
        <v>#VALUE!</v>
      </c>
    </row>
    <row r="238" spans="1:31" x14ac:dyDescent="0.3">
      <c r="A238" t="s">
        <v>211</v>
      </c>
      <c r="B238" t="s">
        <v>221</v>
      </c>
      <c r="C238" t="s">
        <v>28</v>
      </c>
      <c r="D238">
        <v>14</v>
      </c>
      <c r="E238">
        <v>14</v>
      </c>
      <c r="F238">
        <v>3</v>
      </c>
      <c r="G238">
        <v>255</v>
      </c>
      <c r="H238">
        <v>41</v>
      </c>
      <c r="I238">
        <v>23.18</v>
      </c>
      <c r="J238">
        <v>184</v>
      </c>
      <c r="K238">
        <v>138.58000000000001</v>
      </c>
      <c r="L238">
        <v>0</v>
      </c>
      <c r="M238">
        <v>0</v>
      </c>
      <c r="N238">
        <v>1</v>
      </c>
      <c r="O238">
        <v>23</v>
      </c>
      <c r="P238">
        <v>11</v>
      </c>
      <c r="Q238" t="s">
        <v>37</v>
      </c>
      <c r="R238" t="s">
        <v>37</v>
      </c>
      <c r="S238" t="s">
        <v>37</v>
      </c>
      <c r="T238" t="s">
        <v>37</v>
      </c>
      <c r="U238" t="s">
        <v>37</v>
      </c>
      <c r="V238" t="s">
        <v>37</v>
      </c>
      <c r="W238" t="s">
        <v>37</v>
      </c>
      <c r="X238" t="s">
        <v>37</v>
      </c>
      <c r="Y238" t="s">
        <v>37</v>
      </c>
      <c r="Z238" t="s">
        <v>37</v>
      </c>
      <c r="AA238" t="s">
        <v>37</v>
      </c>
      <c r="AB238">
        <v>7</v>
      </c>
      <c r="AC238">
        <v>0</v>
      </c>
      <c r="AD238">
        <f t="shared" ca="1" si="3"/>
        <v>3</v>
      </c>
      <c r="AE238" t="e">
        <f>AVERAGE(Table1[[#This Row],[Runs Conceded]]/Table1[[#This Row],[Wickets Taken]])</f>
        <v>#VALUE!</v>
      </c>
    </row>
    <row r="239" spans="1:31" x14ac:dyDescent="0.3">
      <c r="A239" t="s">
        <v>211</v>
      </c>
      <c r="B239" t="s">
        <v>221</v>
      </c>
      <c r="C239" t="s">
        <v>30</v>
      </c>
      <c r="D239">
        <v>10</v>
      </c>
      <c r="E239">
        <v>10</v>
      </c>
      <c r="F239">
        <v>0</v>
      </c>
      <c r="G239">
        <v>272</v>
      </c>
      <c r="H239">
        <v>77</v>
      </c>
      <c r="I239">
        <v>27.2</v>
      </c>
      <c r="J239">
        <v>177</v>
      </c>
      <c r="K239">
        <v>153.66999999999999</v>
      </c>
      <c r="L239">
        <v>0</v>
      </c>
      <c r="M239">
        <v>1</v>
      </c>
      <c r="N239">
        <v>0</v>
      </c>
      <c r="O239">
        <v>27</v>
      </c>
      <c r="P239">
        <v>15</v>
      </c>
      <c r="Q239" t="s">
        <v>37</v>
      </c>
      <c r="R239" t="s">
        <v>37</v>
      </c>
      <c r="S239" t="s">
        <v>37</v>
      </c>
      <c r="T239" t="s">
        <v>37</v>
      </c>
      <c r="U239" t="s">
        <v>37</v>
      </c>
      <c r="V239" t="s">
        <v>37</v>
      </c>
      <c r="W239" t="s">
        <v>37</v>
      </c>
      <c r="X239" t="s">
        <v>37</v>
      </c>
      <c r="Y239" t="s">
        <v>37</v>
      </c>
      <c r="Z239" t="s">
        <v>37</v>
      </c>
      <c r="AA239" t="s">
        <v>37</v>
      </c>
      <c r="AB239">
        <v>1</v>
      </c>
      <c r="AC239">
        <v>0</v>
      </c>
      <c r="AD239">
        <f t="shared" ca="1" si="3"/>
        <v>3</v>
      </c>
      <c r="AE239" t="e">
        <f>AVERAGE(Table1[[#This Row],[Runs Conceded]]/Table1[[#This Row],[Wickets Taken]])</f>
        <v>#VALUE!</v>
      </c>
    </row>
    <row r="240" spans="1:31" x14ac:dyDescent="0.3">
      <c r="A240" t="s">
        <v>211</v>
      </c>
      <c r="B240" t="s">
        <v>124</v>
      </c>
      <c r="C240" t="s">
        <v>28</v>
      </c>
      <c r="D240">
        <v>3</v>
      </c>
      <c r="E240">
        <v>3</v>
      </c>
      <c r="F240">
        <v>0</v>
      </c>
      <c r="G240">
        <v>57</v>
      </c>
      <c r="H240">
        <v>48</v>
      </c>
      <c r="I240">
        <v>19</v>
      </c>
      <c r="J240">
        <v>55</v>
      </c>
      <c r="K240">
        <v>103.63</v>
      </c>
      <c r="L240">
        <v>0</v>
      </c>
      <c r="M240">
        <v>0</v>
      </c>
      <c r="N240">
        <v>0</v>
      </c>
      <c r="O240">
        <v>3</v>
      </c>
      <c r="P240">
        <v>3</v>
      </c>
      <c r="Q240" t="s">
        <v>37</v>
      </c>
      <c r="R240" t="s">
        <v>37</v>
      </c>
      <c r="S240" t="s">
        <v>37</v>
      </c>
      <c r="T240" t="s">
        <v>37</v>
      </c>
      <c r="U240" t="s">
        <v>37</v>
      </c>
      <c r="V240" t="s">
        <v>37</v>
      </c>
      <c r="W240" t="s">
        <v>37</v>
      </c>
      <c r="X240" t="s">
        <v>37</v>
      </c>
      <c r="Y240" t="s">
        <v>37</v>
      </c>
      <c r="Z240" t="s">
        <v>37</v>
      </c>
      <c r="AA240" t="s">
        <v>37</v>
      </c>
      <c r="AB240">
        <v>0</v>
      </c>
      <c r="AC240">
        <v>0</v>
      </c>
      <c r="AD240">
        <f t="shared" ca="1" si="3"/>
        <v>7</v>
      </c>
      <c r="AE240" t="e">
        <f>AVERAGE(Table1[[#This Row],[Runs Conceded]]/Table1[[#This Row],[Wickets Taken]])</f>
        <v>#VALUE!</v>
      </c>
    </row>
    <row r="241" spans="1:31" x14ac:dyDescent="0.3">
      <c r="A241" t="s">
        <v>211</v>
      </c>
      <c r="B241" t="s">
        <v>222</v>
      </c>
      <c r="C241" t="s">
        <v>28</v>
      </c>
      <c r="D241">
        <v>10</v>
      </c>
      <c r="E241">
        <v>10</v>
      </c>
      <c r="F241">
        <v>0</v>
      </c>
      <c r="G241">
        <v>177</v>
      </c>
      <c r="H241">
        <v>81</v>
      </c>
      <c r="I241">
        <v>17.7</v>
      </c>
      <c r="J241">
        <v>152</v>
      </c>
      <c r="K241">
        <v>116.44</v>
      </c>
      <c r="L241">
        <v>0</v>
      </c>
      <c r="M241">
        <v>1</v>
      </c>
      <c r="N241">
        <v>1</v>
      </c>
      <c r="O241">
        <v>23</v>
      </c>
      <c r="P241">
        <v>4</v>
      </c>
      <c r="Q241" t="s">
        <v>37</v>
      </c>
      <c r="R241" t="s">
        <v>37</v>
      </c>
      <c r="S241" t="s">
        <v>37</v>
      </c>
      <c r="T241" t="s">
        <v>37</v>
      </c>
      <c r="U241" t="s">
        <v>37</v>
      </c>
      <c r="V241" t="s">
        <v>37</v>
      </c>
      <c r="W241" t="s">
        <v>37</v>
      </c>
      <c r="X241" t="s">
        <v>37</v>
      </c>
      <c r="Y241" t="s">
        <v>37</v>
      </c>
      <c r="Z241" t="s">
        <v>37</v>
      </c>
      <c r="AA241" t="s">
        <v>37</v>
      </c>
      <c r="AB241">
        <v>9</v>
      </c>
      <c r="AC241">
        <v>1</v>
      </c>
      <c r="AD241">
        <f t="shared" ca="1" si="3"/>
        <v>16</v>
      </c>
      <c r="AE241" t="e">
        <f>AVERAGE(Table1[[#This Row],[Runs Conceded]]/Table1[[#This Row],[Wickets Taken]])</f>
        <v>#VALUE!</v>
      </c>
    </row>
    <row r="242" spans="1:31" x14ac:dyDescent="0.3">
      <c r="A242" t="s">
        <v>211</v>
      </c>
      <c r="B242" t="s">
        <v>222</v>
      </c>
      <c r="C242" t="s">
        <v>30</v>
      </c>
      <c r="D242">
        <v>16</v>
      </c>
      <c r="E242">
        <v>16</v>
      </c>
      <c r="F242">
        <v>0</v>
      </c>
      <c r="G242">
        <v>395</v>
      </c>
      <c r="H242">
        <v>70</v>
      </c>
      <c r="I242">
        <v>24.68</v>
      </c>
      <c r="J242">
        <v>293</v>
      </c>
      <c r="K242">
        <v>134.81</v>
      </c>
      <c r="L242">
        <v>0</v>
      </c>
      <c r="M242">
        <v>2</v>
      </c>
      <c r="N242">
        <v>2</v>
      </c>
      <c r="O242">
        <v>49</v>
      </c>
      <c r="P242">
        <v>8</v>
      </c>
      <c r="Q242" t="s">
        <v>37</v>
      </c>
      <c r="R242" t="s">
        <v>37</v>
      </c>
      <c r="S242" t="s">
        <v>37</v>
      </c>
      <c r="T242" t="s">
        <v>37</v>
      </c>
      <c r="U242" t="s">
        <v>37</v>
      </c>
      <c r="V242" t="s">
        <v>37</v>
      </c>
      <c r="W242" t="s">
        <v>37</v>
      </c>
      <c r="X242" t="s">
        <v>37</v>
      </c>
      <c r="Y242" t="s">
        <v>37</v>
      </c>
      <c r="Z242" t="s">
        <v>37</v>
      </c>
      <c r="AA242" t="s">
        <v>37</v>
      </c>
      <c r="AB242">
        <v>6</v>
      </c>
      <c r="AC242">
        <v>2</v>
      </c>
      <c r="AD242">
        <f t="shared" ca="1" si="3"/>
        <v>4</v>
      </c>
      <c r="AE242" t="e">
        <f>AVERAGE(Table1[[#This Row],[Runs Conceded]]/Table1[[#This Row],[Wickets Taken]])</f>
        <v>#VALUE!</v>
      </c>
    </row>
    <row r="243" spans="1:31" x14ac:dyDescent="0.3">
      <c r="A243" t="s">
        <v>211</v>
      </c>
      <c r="B243" t="s">
        <v>191</v>
      </c>
      <c r="C243" t="s">
        <v>28</v>
      </c>
      <c r="D243">
        <v>3</v>
      </c>
      <c r="E243">
        <v>2</v>
      </c>
      <c r="F243">
        <v>1</v>
      </c>
      <c r="G243">
        <v>13</v>
      </c>
      <c r="H243">
        <v>12</v>
      </c>
      <c r="I243">
        <v>13</v>
      </c>
      <c r="J243">
        <v>12</v>
      </c>
      <c r="K243">
        <v>108.33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3</v>
      </c>
      <c r="R243">
        <v>9</v>
      </c>
      <c r="S243">
        <v>1</v>
      </c>
      <c r="T243">
        <v>64</v>
      </c>
      <c r="U243">
        <v>3</v>
      </c>
      <c r="V243" s="1">
        <v>42767</v>
      </c>
      <c r="W243">
        <v>21.33</v>
      </c>
      <c r="X243">
        <v>7.11</v>
      </c>
      <c r="Y243">
        <v>18</v>
      </c>
      <c r="Z243">
        <v>0</v>
      </c>
      <c r="AA243">
        <v>0</v>
      </c>
      <c r="AB243">
        <v>0</v>
      </c>
      <c r="AC243">
        <v>0</v>
      </c>
      <c r="AD243">
        <f t="shared" ca="1" si="3"/>
        <v>16</v>
      </c>
      <c r="AE243">
        <f>AVERAGE(Table1[[#This Row],[Runs Conceded]]/Table1[[#This Row],[Wickets Taken]])</f>
        <v>21.333333333333332</v>
      </c>
    </row>
    <row r="244" spans="1:31" x14ac:dyDescent="0.3">
      <c r="A244" t="s">
        <v>211</v>
      </c>
      <c r="B244" t="s">
        <v>191</v>
      </c>
      <c r="C244" t="s">
        <v>30</v>
      </c>
      <c r="D244">
        <v>1</v>
      </c>
      <c r="E244" t="s">
        <v>37</v>
      </c>
      <c r="F244" t="s">
        <v>37</v>
      </c>
      <c r="G244" t="s">
        <v>37</v>
      </c>
      <c r="H244" t="s">
        <v>37</v>
      </c>
      <c r="I244" t="s">
        <v>37</v>
      </c>
      <c r="J244" t="s">
        <v>37</v>
      </c>
      <c r="K244" t="s">
        <v>37</v>
      </c>
      <c r="L244" t="s">
        <v>37</v>
      </c>
      <c r="M244" t="s">
        <v>37</v>
      </c>
      <c r="N244" t="s">
        <v>37</v>
      </c>
      <c r="O244" t="s">
        <v>37</v>
      </c>
      <c r="P244" t="s">
        <v>37</v>
      </c>
      <c r="Q244">
        <v>1</v>
      </c>
      <c r="R244">
        <v>3</v>
      </c>
      <c r="S244">
        <v>0</v>
      </c>
      <c r="T244">
        <v>31</v>
      </c>
      <c r="U244">
        <v>2</v>
      </c>
      <c r="V244" s="1">
        <v>11355</v>
      </c>
      <c r="W244">
        <v>15.5</v>
      </c>
      <c r="X244">
        <v>10.33</v>
      </c>
      <c r="Y244">
        <v>9</v>
      </c>
      <c r="Z244">
        <v>0</v>
      </c>
      <c r="AA244">
        <v>0</v>
      </c>
      <c r="AB244">
        <v>0</v>
      </c>
      <c r="AC244">
        <v>0</v>
      </c>
      <c r="AD244">
        <f t="shared" ca="1" si="3"/>
        <v>11</v>
      </c>
      <c r="AE244">
        <f>AVERAGE(Table1[[#This Row],[Runs Conceded]]/Table1[[#This Row],[Wickets Taken]])</f>
        <v>15.5</v>
      </c>
    </row>
    <row r="245" spans="1:31" x14ac:dyDescent="0.3">
      <c r="A245" t="s">
        <v>211</v>
      </c>
      <c r="B245" t="s">
        <v>223</v>
      </c>
      <c r="C245" t="s">
        <v>28</v>
      </c>
      <c r="D245">
        <v>14</v>
      </c>
      <c r="E245">
        <v>5</v>
      </c>
      <c r="F245">
        <v>2</v>
      </c>
      <c r="G245">
        <v>34</v>
      </c>
      <c r="H245">
        <v>20</v>
      </c>
      <c r="I245">
        <v>11.33</v>
      </c>
      <c r="J245">
        <v>23</v>
      </c>
      <c r="K245">
        <v>147.82</v>
      </c>
      <c r="L245">
        <v>0</v>
      </c>
      <c r="M245">
        <v>0</v>
      </c>
      <c r="N245">
        <v>0</v>
      </c>
      <c r="O245">
        <v>2</v>
      </c>
      <c r="P245">
        <v>3</v>
      </c>
      <c r="Q245">
        <v>14</v>
      </c>
      <c r="R245">
        <v>53.2</v>
      </c>
      <c r="S245">
        <v>0</v>
      </c>
      <c r="T245">
        <v>436</v>
      </c>
      <c r="U245">
        <v>17</v>
      </c>
      <c r="V245" s="1">
        <v>44287</v>
      </c>
      <c r="W245">
        <v>25.64</v>
      </c>
      <c r="X245">
        <v>8.17</v>
      </c>
      <c r="Y245">
        <v>18.8</v>
      </c>
      <c r="Z245">
        <v>1</v>
      </c>
      <c r="AA245">
        <v>0</v>
      </c>
      <c r="AB245">
        <v>0</v>
      </c>
      <c r="AC245">
        <v>0</v>
      </c>
      <c r="AD245">
        <f t="shared" ca="1" si="3"/>
        <v>4</v>
      </c>
      <c r="AE245">
        <f>AVERAGE(Table1[[#This Row],[Runs Conceded]]/Table1[[#This Row],[Wickets Taken]])</f>
        <v>25.647058823529413</v>
      </c>
    </row>
    <row r="246" spans="1:31" x14ac:dyDescent="0.3">
      <c r="A246" t="s">
        <v>211</v>
      </c>
      <c r="B246" t="s">
        <v>223</v>
      </c>
      <c r="C246" t="s">
        <v>30</v>
      </c>
      <c r="D246">
        <v>14</v>
      </c>
      <c r="E246">
        <v>7</v>
      </c>
      <c r="F246">
        <v>3</v>
      </c>
      <c r="G246">
        <v>16</v>
      </c>
      <c r="H246">
        <v>12</v>
      </c>
      <c r="I246">
        <v>4</v>
      </c>
      <c r="J246">
        <v>15</v>
      </c>
      <c r="K246">
        <v>106.66</v>
      </c>
      <c r="L246">
        <v>0</v>
      </c>
      <c r="M246">
        <v>0</v>
      </c>
      <c r="N246">
        <v>2</v>
      </c>
      <c r="O246">
        <v>0</v>
      </c>
      <c r="P246">
        <v>1</v>
      </c>
      <c r="Q246">
        <v>14</v>
      </c>
      <c r="R246">
        <v>54</v>
      </c>
      <c r="S246">
        <v>0</v>
      </c>
      <c r="T246">
        <v>507</v>
      </c>
      <c r="U246">
        <v>19</v>
      </c>
      <c r="V246" s="1">
        <v>45352</v>
      </c>
      <c r="W246">
        <v>26.68</v>
      </c>
      <c r="X246">
        <v>9.3800000000000008</v>
      </c>
      <c r="Y246">
        <v>17</v>
      </c>
      <c r="Z246">
        <v>0</v>
      </c>
      <c r="AA246">
        <v>0</v>
      </c>
      <c r="AB246">
        <v>1</v>
      </c>
      <c r="AC246">
        <v>0</v>
      </c>
      <c r="AD246">
        <f t="shared" ca="1" si="3"/>
        <v>9</v>
      </c>
      <c r="AE246">
        <f>AVERAGE(Table1[[#This Row],[Runs Conceded]]/Table1[[#This Row],[Wickets Taken]])</f>
        <v>26.684210526315791</v>
      </c>
    </row>
    <row r="247" spans="1:31" x14ac:dyDescent="0.3">
      <c r="A247" t="s">
        <v>211</v>
      </c>
      <c r="B247" t="s">
        <v>223</v>
      </c>
      <c r="C247" t="s">
        <v>32</v>
      </c>
      <c r="D247">
        <v>11</v>
      </c>
      <c r="E247">
        <v>5</v>
      </c>
      <c r="F247">
        <v>3</v>
      </c>
      <c r="G247">
        <v>11</v>
      </c>
      <c r="H247" t="s">
        <v>119</v>
      </c>
      <c r="I247">
        <v>5.5</v>
      </c>
      <c r="J247">
        <v>10</v>
      </c>
      <c r="K247">
        <v>110</v>
      </c>
      <c r="L247">
        <v>0</v>
      </c>
      <c r="M247">
        <v>0</v>
      </c>
      <c r="N247">
        <v>2</v>
      </c>
      <c r="O247">
        <v>1</v>
      </c>
      <c r="P247">
        <v>1</v>
      </c>
      <c r="Q247">
        <v>11</v>
      </c>
      <c r="R247">
        <v>40</v>
      </c>
      <c r="S247">
        <v>0</v>
      </c>
      <c r="T247">
        <v>332</v>
      </c>
      <c r="U247">
        <v>14</v>
      </c>
      <c r="V247" s="1">
        <v>44593</v>
      </c>
      <c r="W247">
        <v>23.71</v>
      </c>
      <c r="X247">
        <v>8.3000000000000007</v>
      </c>
      <c r="Y247">
        <v>17.100000000000001</v>
      </c>
      <c r="Z247">
        <v>0</v>
      </c>
      <c r="AA247">
        <v>0</v>
      </c>
      <c r="AB247">
        <v>0</v>
      </c>
      <c r="AC247">
        <v>0</v>
      </c>
      <c r="AD247">
        <f t="shared" ca="1" si="3"/>
        <v>4</v>
      </c>
      <c r="AE247">
        <f>AVERAGE(Table1[[#This Row],[Runs Conceded]]/Table1[[#This Row],[Wickets Taken]])</f>
        <v>23.714285714285715</v>
      </c>
    </row>
    <row r="248" spans="1:31" x14ac:dyDescent="0.3">
      <c r="A248" t="s">
        <v>211</v>
      </c>
      <c r="B248" t="s">
        <v>223</v>
      </c>
      <c r="C248" t="s">
        <v>92</v>
      </c>
      <c r="D248">
        <v>5</v>
      </c>
      <c r="E248">
        <v>4</v>
      </c>
      <c r="F248">
        <v>1</v>
      </c>
      <c r="G248">
        <v>11</v>
      </c>
      <c r="H248">
        <v>10</v>
      </c>
      <c r="I248">
        <v>3.66</v>
      </c>
      <c r="J248">
        <v>16</v>
      </c>
      <c r="K248">
        <v>68.75</v>
      </c>
      <c r="L248">
        <v>0</v>
      </c>
      <c r="M248">
        <v>0</v>
      </c>
      <c r="N248">
        <v>1</v>
      </c>
      <c r="O248">
        <v>2</v>
      </c>
      <c r="P248">
        <v>0</v>
      </c>
      <c r="Q248">
        <v>5</v>
      </c>
      <c r="R248">
        <v>18</v>
      </c>
      <c r="S248">
        <v>1</v>
      </c>
      <c r="T248">
        <v>142</v>
      </c>
      <c r="U248">
        <v>3</v>
      </c>
      <c r="V248" s="1">
        <v>14671</v>
      </c>
      <c r="W248">
        <v>47.33</v>
      </c>
      <c r="X248">
        <v>7.88</v>
      </c>
      <c r="Y248">
        <v>36</v>
      </c>
      <c r="Z248">
        <v>0</v>
      </c>
      <c r="AA248">
        <v>0</v>
      </c>
      <c r="AB248">
        <v>0</v>
      </c>
      <c r="AC248">
        <v>0</v>
      </c>
      <c r="AD248">
        <f t="shared" ca="1" si="3"/>
        <v>11</v>
      </c>
      <c r="AE248">
        <f>AVERAGE(Table1[[#This Row],[Runs Conceded]]/Table1[[#This Row],[Wickets Taken]])</f>
        <v>47.333333333333336</v>
      </c>
    </row>
    <row r="249" spans="1:31" x14ac:dyDescent="0.3">
      <c r="A249" t="s">
        <v>211</v>
      </c>
      <c r="B249" t="s">
        <v>224</v>
      </c>
      <c r="C249" t="s">
        <v>28</v>
      </c>
      <c r="D249">
        <v>11</v>
      </c>
      <c r="E249">
        <v>4</v>
      </c>
      <c r="F249">
        <v>1</v>
      </c>
      <c r="G249">
        <v>30</v>
      </c>
      <c r="H249">
        <v>25</v>
      </c>
      <c r="I249">
        <v>10</v>
      </c>
      <c r="J249">
        <v>19</v>
      </c>
      <c r="K249">
        <v>157.88999999999999</v>
      </c>
      <c r="L249">
        <v>0</v>
      </c>
      <c r="M249">
        <v>0</v>
      </c>
      <c r="N249">
        <v>0</v>
      </c>
      <c r="O249">
        <v>1</v>
      </c>
      <c r="P249">
        <v>2</v>
      </c>
      <c r="Q249">
        <v>11</v>
      </c>
      <c r="R249">
        <v>43</v>
      </c>
      <c r="S249">
        <v>0</v>
      </c>
      <c r="T249">
        <v>329</v>
      </c>
      <c r="U249">
        <v>9</v>
      </c>
      <c r="V249" s="1">
        <v>45352</v>
      </c>
      <c r="W249">
        <v>36.549999999999997</v>
      </c>
      <c r="X249">
        <v>7.65</v>
      </c>
      <c r="Y249">
        <v>28.6</v>
      </c>
      <c r="Z249">
        <v>0</v>
      </c>
      <c r="AA249">
        <v>0</v>
      </c>
      <c r="AB249">
        <v>4</v>
      </c>
      <c r="AC249">
        <v>0</v>
      </c>
      <c r="AD249">
        <f t="shared" ca="1" si="3"/>
        <v>7</v>
      </c>
      <c r="AE249">
        <f>AVERAGE(Table1[[#This Row],[Runs Conceded]]/Table1[[#This Row],[Wickets Taken]])</f>
        <v>36.555555555555557</v>
      </c>
    </row>
    <row r="250" spans="1:31" x14ac:dyDescent="0.3">
      <c r="A250" t="s">
        <v>211</v>
      </c>
      <c r="B250" t="s">
        <v>224</v>
      </c>
      <c r="C250" t="s">
        <v>30</v>
      </c>
      <c r="D250">
        <v>3</v>
      </c>
      <c r="E250">
        <v>1</v>
      </c>
      <c r="F250">
        <v>0</v>
      </c>
      <c r="G250">
        <v>7</v>
      </c>
      <c r="H250">
        <v>7</v>
      </c>
      <c r="I250">
        <v>7</v>
      </c>
      <c r="J250">
        <v>3</v>
      </c>
      <c r="K250">
        <v>233.33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3</v>
      </c>
      <c r="R250">
        <v>10</v>
      </c>
      <c r="S250">
        <v>1</v>
      </c>
      <c r="T250">
        <v>96</v>
      </c>
      <c r="U250">
        <v>3</v>
      </c>
      <c r="V250" s="1">
        <v>14277</v>
      </c>
      <c r="W250">
        <v>32</v>
      </c>
      <c r="X250">
        <v>9.6</v>
      </c>
      <c r="Y250">
        <v>20</v>
      </c>
      <c r="Z250">
        <v>0</v>
      </c>
      <c r="AA250">
        <v>0</v>
      </c>
      <c r="AB250">
        <v>1</v>
      </c>
      <c r="AC250">
        <v>0</v>
      </c>
      <c r="AD250">
        <f t="shared" ca="1" si="3"/>
        <v>9</v>
      </c>
      <c r="AE250">
        <f>AVERAGE(Table1[[#This Row],[Runs Conceded]]/Table1[[#This Row],[Wickets Taken]])</f>
        <v>32</v>
      </c>
    </row>
    <row r="251" spans="1:31" x14ac:dyDescent="0.3">
      <c r="A251" t="s">
        <v>211</v>
      </c>
      <c r="B251" t="s">
        <v>225</v>
      </c>
      <c r="C251" t="s">
        <v>28</v>
      </c>
      <c r="D251">
        <v>14</v>
      </c>
      <c r="E251">
        <v>2</v>
      </c>
      <c r="F251">
        <v>1</v>
      </c>
      <c r="G251">
        <v>8</v>
      </c>
      <c r="H251">
        <v>6</v>
      </c>
      <c r="I251">
        <v>8</v>
      </c>
      <c r="J251">
        <v>11</v>
      </c>
      <c r="K251">
        <v>72.72</v>
      </c>
      <c r="L251">
        <v>0</v>
      </c>
      <c r="M251">
        <v>0</v>
      </c>
      <c r="N251">
        <v>0</v>
      </c>
      <c r="O251">
        <v>1</v>
      </c>
      <c r="P251">
        <v>0</v>
      </c>
      <c r="Q251">
        <v>14</v>
      </c>
      <c r="R251">
        <v>52</v>
      </c>
      <c r="S251">
        <v>0</v>
      </c>
      <c r="T251">
        <v>406</v>
      </c>
      <c r="U251">
        <v>15</v>
      </c>
      <c r="V251" s="1">
        <v>41334</v>
      </c>
      <c r="W251">
        <v>27.06</v>
      </c>
      <c r="X251">
        <v>7.8</v>
      </c>
      <c r="Y251">
        <v>20.8</v>
      </c>
      <c r="Z251">
        <v>0</v>
      </c>
      <c r="AA251">
        <v>0</v>
      </c>
      <c r="AB251">
        <v>1</v>
      </c>
      <c r="AC251">
        <v>0</v>
      </c>
      <c r="AD251">
        <f t="shared" ca="1" si="3"/>
        <v>7</v>
      </c>
      <c r="AE251">
        <f>AVERAGE(Table1[[#This Row],[Runs Conceded]]/Table1[[#This Row],[Wickets Taken]])</f>
        <v>27.066666666666666</v>
      </c>
    </row>
    <row r="252" spans="1:31" x14ac:dyDescent="0.3">
      <c r="A252" t="s">
        <v>211</v>
      </c>
      <c r="B252" t="s">
        <v>225</v>
      </c>
      <c r="C252" t="s">
        <v>30</v>
      </c>
      <c r="D252">
        <v>16</v>
      </c>
      <c r="E252">
        <v>2</v>
      </c>
      <c r="F252">
        <v>1</v>
      </c>
      <c r="G252">
        <v>16</v>
      </c>
      <c r="H252" t="s">
        <v>226</v>
      </c>
      <c r="I252">
        <v>16</v>
      </c>
      <c r="J252">
        <v>12</v>
      </c>
      <c r="K252">
        <v>133.33000000000001</v>
      </c>
      <c r="L252">
        <v>0</v>
      </c>
      <c r="M252">
        <v>0</v>
      </c>
      <c r="N252">
        <v>1</v>
      </c>
      <c r="O252">
        <v>0</v>
      </c>
      <c r="P252">
        <v>1</v>
      </c>
      <c r="Q252">
        <v>16</v>
      </c>
      <c r="R252">
        <v>59.2</v>
      </c>
      <c r="S252">
        <v>2</v>
      </c>
      <c r="T252">
        <v>440</v>
      </c>
      <c r="U252">
        <v>20</v>
      </c>
      <c r="V252" s="2">
        <v>44015</v>
      </c>
      <c r="W252">
        <v>22</v>
      </c>
      <c r="X252">
        <v>7.41</v>
      </c>
      <c r="Y252">
        <v>17.8</v>
      </c>
      <c r="Z252">
        <v>0</v>
      </c>
      <c r="AA252">
        <v>0</v>
      </c>
      <c r="AB252">
        <v>2</v>
      </c>
      <c r="AC252">
        <v>0</v>
      </c>
      <c r="AD252">
        <f t="shared" ca="1" si="3"/>
        <v>12</v>
      </c>
      <c r="AE252">
        <f>AVERAGE(Table1[[#This Row],[Runs Conceded]]/Table1[[#This Row],[Wickets Taken]])</f>
        <v>22</v>
      </c>
    </row>
    <row r="253" spans="1:31" x14ac:dyDescent="0.3">
      <c r="A253" t="s">
        <v>211</v>
      </c>
      <c r="B253" t="s">
        <v>225</v>
      </c>
      <c r="C253" t="s">
        <v>32</v>
      </c>
      <c r="D253">
        <v>14</v>
      </c>
      <c r="E253">
        <v>3</v>
      </c>
      <c r="F253">
        <v>2</v>
      </c>
      <c r="G253">
        <v>10</v>
      </c>
      <c r="H253" t="s">
        <v>61</v>
      </c>
      <c r="I253">
        <v>10</v>
      </c>
      <c r="J253">
        <v>11</v>
      </c>
      <c r="K253">
        <v>90.9</v>
      </c>
      <c r="L253">
        <v>0</v>
      </c>
      <c r="M253">
        <v>0</v>
      </c>
      <c r="N253">
        <v>1</v>
      </c>
      <c r="O253">
        <v>1</v>
      </c>
      <c r="P253">
        <v>0</v>
      </c>
      <c r="Q253">
        <v>14</v>
      </c>
      <c r="R253">
        <v>54</v>
      </c>
      <c r="S253">
        <v>0</v>
      </c>
      <c r="T253">
        <v>372</v>
      </c>
      <c r="U253">
        <v>17</v>
      </c>
      <c r="V253" s="1">
        <v>42064</v>
      </c>
      <c r="W253">
        <v>21.88</v>
      </c>
      <c r="X253">
        <v>6.88</v>
      </c>
      <c r="Y253">
        <v>19</v>
      </c>
      <c r="Z253">
        <v>0</v>
      </c>
      <c r="AA253">
        <v>0</v>
      </c>
      <c r="AB253">
        <v>4</v>
      </c>
      <c r="AC253">
        <v>0</v>
      </c>
      <c r="AD253">
        <f t="shared" ca="1" si="3"/>
        <v>7</v>
      </c>
      <c r="AE253">
        <f>AVERAGE(Table1[[#This Row],[Runs Conceded]]/Table1[[#This Row],[Wickets Taken]])</f>
        <v>21.882352941176471</v>
      </c>
    </row>
    <row r="254" spans="1:31" x14ac:dyDescent="0.3">
      <c r="A254" t="s">
        <v>211</v>
      </c>
      <c r="B254" t="s">
        <v>225</v>
      </c>
      <c r="C254" t="s">
        <v>92</v>
      </c>
      <c r="D254">
        <v>16</v>
      </c>
      <c r="E254">
        <v>2</v>
      </c>
      <c r="F254">
        <v>2</v>
      </c>
      <c r="G254">
        <v>0</v>
      </c>
      <c r="H254" t="s">
        <v>148</v>
      </c>
      <c r="I254" t="s">
        <v>37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16</v>
      </c>
      <c r="R254">
        <v>61.4</v>
      </c>
      <c r="S254">
        <v>1</v>
      </c>
      <c r="T254">
        <v>409</v>
      </c>
      <c r="U254">
        <v>19</v>
      </c>
      <c r="V254" s="1">
        <v>43891</v>
      </c>
      <c r="W254">
        <v>21.52</v>
      </c>
      <c r="X254">
        <v>6.63</v>
      </c>
      <c r="Y254">
        <v>19.399999999999999</v>
      </c>
      <c r="Z254">
        <v>0</v>
      </c>
      <c r="AA254">
        <v>0</v>
      </c>
      <c r="AB254">
        <v>2</v>
      </c>
      <c r="AC254">
        <v>0</v>
      </c>
      <c r="AD254">
        <f t="shared" ca="1" si="3"/>
        <v>3</v>
      </c>
      <c r="AE254">
        <f>AVERAGE(Table1[[#This Row],[Runs Conceded]]/Table1[[#This Row],[Wickets Taken]])</f>
        <v>21.526315789473685</v>
      </c>
    </row>
    <row r="255" spans="1:31" x14ac:dyDescent="0.3">
      <c r="A255" t="s">
        <v>211</v>
      </c>
      <c r="B255" t="s">
        <v>227</v>
      </c>
      <c r="C255" t="s">
        <v>28</v>
      </c>
      <c r="D255">
        <v>1</v>
      </c>
      <c r="E255">
        <v>1</v>
      </c>
      <c r="F255">
        <v>0</v>
      </c>
      <c r="G255">
        <v>8</v>
      </c>
      <c r="H255">
        <v>8</v>
      </c>
      <c r="I255">
        <v>8</v>
      </c>
      <c r="J255">
        <v>8</v>
      </c>
      <c r="K255">
        <v>100</v>
      </c>
      <c r="L255">
        <v>0</v>
      </c>
      <c r="M255">
        <v>0</v>
      </c>
      <c r="N255">
        <v>0</v>
      </c>
      <c r="O255">
        <v>0</v>
      </c>
      <c r="P255">
        <v>1</v>
      </c>
      <c r="Q255" t="s">
        <v>37</v>
      </c>
      <c r="R255" t="s">
        <v>37</v>
      </c>
      <c r="S255" t="s">
        <v>37</v>
      </c>
      <c r="T255" t="s">
        <v>37</v>
      </c>
      <c r="U255" t="s">
        <v>37</v>
      </c>
      <c r="V255" t="s">
        <v>37</v>
      </c>
      <c r="W255" t="s">
        <v>37</v>
      </c>
      <c r="X255" t="s">
        <v>37</v>
      </c>
      <c r="Y255" t="s">
        <v>37</v>
      </c>
      <c r="Z255" t="s">
        <v>37</v>
      </c>
      <c r="AA255" t="s">
        <v>37</v>
      </c>
      <c r="AB255">
        <v>0</v>
      </c>
      <c r="AC255">
        <v>0</v>
      </c>
      <c r="AD255">
        <f t="shared" ca="1" si="3"/>
        <v>12</v>
      </c>
      <c r="AE255" t="e">
        <f>AVERAGE(Table1[[#This Row],[Runs Conceded]]/Table1[[#This Row],[Wickets Taken]])</f>
        <v>#VALUE!</v>
      </c>
    </row>
    <row r="256" spans="1:31" x14ac:dyDescent="0.3">
      <c r="A256" t="s">
        <v>211</v>
      </c>
      <c r="B256" t="s">
        <v>227</v>
      </c>
      <c r="C256" t="s">
        <v>30</v>
      </c>
      <c r="D256">
        <v>7</v>
      </c>
      <c r="E256">
        <v>7</v>
      </c>
      <c r="F256">
        <v>0</v>
      </c>
      <c r="G256">
        <v>137</v>
      </c>
      <c r="H256">
        <v>66</v>
      </c>
      <c r="I256">
        <v>19.57</v>
      </c>
      <c r="J256">
        <v>112</v>
      </c>
      <c r="K256">
        <v>122.32</v>
      </c>
      <c r="L256">
        <v>0</v>
      </c>
      <c r="M256">
        <v>2</v>
      </c>
      <c r="N256">
        <v>1</v>
      </c>
      <c r="O256">
        <v>10</v>
      </c>
      <c r="P256">
        <v>8</v>
      </c>
      <c r="Q256" t="s">
        <v>37</v>
      </c>
      <c r="R256" t="s">
        <v>37</v>
      </c>
      <c r="S256" t="s">
        <v>37</v>
      </c>
      <c r="T256" t="s">
        <v>37</v>
      </c>
      <c r="U256" t="s">
        <v>37</v>
      </c>
      <c r="V256" t="s">
        <v>37</v>
      </c>
      <c r="W256" t="s">
        <v>37</v>
      </c>
      <c r="X256" t="s">
        <v>37</v>
      </c>
      <c r="Y256" t="s">
        <v>37</v>
      </c>
      <c r="Z256" t="s">
        <v>37</v>
      </c>
      <c r="AA256" t="s">
        <v>37</v>
      </c>
      <c r="AB256">
        <v>2</v>
      </c>
      <c r="AC256">
        <v>0</v>
      </c>
      <c r="AD256">
        <f t="shared" ca="1" si="3"/>
        <v>9</v>
      </c>
      <c r="AE256" t="e">
        <f>AVERAGE(Table1[[#This Row],[Runs Conceded]]/Table1[[#This Row],[Wickets Taken]])</f>
        <v>#VALUE!</v>
      </c>
    </row>
    <row r="257" spans="1:31" x14ac:dyDescent="0.3">
      <c r="A257" t="s">
        <v>211</v>
      </c>
      <c r="B257" t="s">
        <v>228</v>
      </c>
      <c r="C257" t="s">
        <v>28</v>
      </c>
      <c r="D257">
        <v>11</v>
      </c>
      <c r="E257">
        <v>9</v>
      </c>
      <c r="F257">
        <v>2</v>
      </c>
      <c r="G257">
        <v>44</v>
      </c>
      <c r="H257">
        <v>9</v>
      </c>
      <c r="I257">
        <v>6.28</v>
      </c>
      <c r="J257">
        <v>63</v>
      </c>
      <c r="K257">
        <v>69.84</v>
      </c>
      <c r="L257">
        <v>0</v>
      </c>
      <c r="M257">
        <v>0</v>
      </c>
      <c r="N257">
        <v>0</v>
      </c>
      <c r="O257">
        <v>4</v>
      </c>
      <c r="P257">
        <v>0</v>
      </c>
      <c r="Q257">
        <v>10</v>
      </c>
      <c r="R257">
        <v>16.399999999999999</v>
      </c>
      <c r="S257">
        <v>0</v>
      </c>
      <c r="T257">
        <v>153</v>
      </c>
      <c r="U257">
        <v>3</v>
      </c>
      <c r="V257" s="2">
        <v>44013</v>
      </c>
      <c r="W257">
        <v>51</v>
      </c>
      <c r="X257">
        <v>9.18</v>
      </c>
      <c r="Y257">
        <v>33.299999999999997</v>
      </c>
      <c r="Z257">
        <v>0</v>
      </c>
      <c r="AA257">
        <v>0</v>
      </c>
      <c r="AB257">
        <v>6</v>
      </c>
      <c r="AC257">
        <v>0</v>
      </c>
      <c r="AD257">
        <f t="shared" ca="1" si="3"/>
        <v>14</v>
      </c>
      <c r="AE257">
        <f>AVERAGE(Table1[[#This Row],[Runs Conceded]]/Table1[[#This Row],[Wickets Taken]])</f>
        <v>51</v>
      </c>
    </row>
    <row r="258" spans="1:31" x14ac:dyDescent="0.3">
      <c r="A258" t="s">
        <v>211</v>
      </c>
      <c r="B258" t="s">
        <v>228</v>
      </c>
      <c r="C258" t="s">
        <v>30</v>
      </c>
      <c r="D258">
        <v>17</v>
      </c>
      <c r="E258">
        <v>16</v>
      </c>
      <c r="F258">
        <v>9</v>
      </c>
      <c r="G258">
        <v>250</v>
      </c>
      <c r="H258" t="s">
        <v>229</v>
      </c>
      <c r="I258">
        <v>35.71</v>
      </c>
      <c r="J258">
        <v>160</v>
      </c>
      <c r="K258">
        <v>156.25</v>
      </c>
      <c r="L258">
        <v>0</v>
      </c>
      <c r="M258">
        <v>0</v>
      </c>
      <c r="N258">
        <v>0</v>
      </c>
      <c r="O258">
        <v>11</v>
      </c>
      <c r="P258">
        <v>20</v>
      </c>
      <c r="Q258">
        <v>13</v>
      </c>
      <c r="R258">
        <v>26</v>
      </c>
      <c r="S258">
        <v>0</v>
      </c>
      <c r="T258">
        <v>213</v>
      </c>
      <c r="U258">
        <v>6</v>
      </c>
      <c r="V258" s="1">
        <v>44593</v>
      </c>
      <c r="W258">
        <v>35.5</v>
      </c>
      <c r="X258">
        <v>8.19</v>
      </c>
      <c r="Y258">
        <v>26</v>
      </c>
      <c r="Z258">
        <v>0</v>
      </c>
      <c r="AA258">
        <v>0</v>
      </c>
      <c r="AB258">
        <v>12</v>
      </c>
      <c r="AC258">
        <v>0</v>
      </c>
      <c r="AD258">
        <f t="shared" ref="AD258:AD321" ca="1" si="4">RANDBETWEEN(3,18)</f>
        <v>9</v>
      </c>
      <c r="AE258">
        <f>AVERAGE(Table1[[#This Row],[Runs Conceded]]/Table1[[#This Row],[Wickets Taken]])</f>
        <v>35.5</v>
      </c>
    </row>
    <row r="259" spans="1:31" x14ac:dyDescent="0.3">
      <c r="A259" t="s">
        <v>211</v>
      </c>
      <c r="B259" t="s">
        <v>228</v>
      </c>
      <c r="C259" t="s">
        <v>32</v>
      </c>
      <c r="D259">
        <v>13</v>
      </c>
      <c r="E259">
        <v>13</v>
      </c>
      <c r="F259">
        <v>4</v>
      </c>
      <c r="G259">
        <v>260</v>
      </c>
      <c r="H259">
        <v>50</v>
      </c>
      <c r="I259">
        <v>28.88</v>
      </c>
      <c r="J259">
        <v>195</v>
      </c>
      <c r="K259">
        <v>133.33000000000001</v>
      </c>
      <c r="L259">
        <v>0</v>
      </c>
      <c r="M259">
        <v>1</v>
      </c>
      <c r="N259">
        <v>0</v>
      </c>
      <c r="O259">
        <v>20</v>
      </c>
      <c r="P259">
        <v>11</v>
      </c>
      <c r="Q259">
        <v>13</v>
      </c>
      <c r="R259">
        <v>42.4</v>
      </c>
      <c r="S259">
        <v>0</v>
      </c>
      <c r="T259">
        <v>381</v>
      </c>
      <c r="U259">
        <v>18</v>
      </c>
      <c r="V259" s="1">
        <v>45352</v>
      </c>
      <c r="W259">
        <v>21.16</v>
      </c>
      <c r="X259">
        <v>8.92</v>
      </c>
      <c r="Y259">
        <v>14.2</v>
      </c>
      <c r="Z259">
        <v>0</v>
      </c>
      <c r="AA259">
        <v>0</v>
      </c>
      <c r="AB259">
        <v>8</v>
      </c>
      <c r="AC259">
        <v>0</v>
      </c>
      <c r="AD259">
        <f t="shared" ca="1" si="4"/>
        <v>13</v>
      </c>
      <c r="AE259">
        <f>AVERAGE(Table1[[#This Row],[Runs Conceded]]/Table1[[#This Row],[Wickets Taken]])</f>
        <v>21.166666666666668</v>
      </c>
    </row>
    <row r="260" spans="1:31" x14ac:dyDescent="0.3">
      <c r="A260" t="s">
        <v>211</v>
      </c>
      <c r="B260" t="s">
        <v>228</v>
      </c>
      <c r="C260" t="s">
        <v>92</v>
      </c>
      <c r="D260">
        <v>16</v>
      </c>
      <c r="E260">
        <v>15</v>
      </c>
      <c r="F260">
        <v>6</v>
      </c>
      <c r="G260">
        <v>402</v>
      </c>
      <c r="H260">
        <v>91</v>
      </c>
      <c r="I260">
        <v>44.66</v>
      </c>
      <c r="J260">
        <v>210</v>
      </c>
      <c r="K260">
        <v>191.42</v>
      </c>
      <c r="L260">
        <v>0</v>
      </c>
      <c r="M260">
        <v>1</v>
      </c>
      <c r="N260">
        <v>1</v>
      </c>
      <c r="O260">
        <v>28</v>
      </c>
      <c r="P260">
        <v>29</v>
      </c>
      <c r="Q260">
        <v>16</v>
      </c>
      <c r="R260">
        <v>42.3</v>
      </c>
      <c r="S260">
        <v>0</v>
      </c>
      <c r="T260">
        <v>390</v>
      </c>
      <c r="U260">
        <v>14</v>
      </c>
      <c r="V260" s="1">
        <v>43891</v>
      </c>
      <c r="W260">
        <v>27.85</v>
      </c>
      <c r="X260">
        <v>9.17</v>
      </c>
      <c r="Y260">
        <v>18.2</v>
      </c>
      <c r="Z260">
        <v>0</v>
      </c>
      <c r="AA260">
        <v>0</v>
      </c>
      <c r="AB260">
        <v>11</v>
      </c>
      <c r="AC260">
        <v>0</v>
      </c>
      <c r="AD260">
        <f t="shared" ca="1" si="4"/>
        <v>8</v>
      </c>
      <c r="AE260">
        <f>AVERAGE(Table1[[#This Row],[Runs Conceded]]/Table1[[#This Row],[Wickets Taken]])</f>
        <v>27.857142857142858</v>
      </c>
    </row>
    <row r="261" spans="1:31" x14ac:dyDescent="0.3">
      <c r="A261" t="s">
        <v>211</v>
      </c>
      <c r="B261" t="s">
        <v>230</v>
      </c>
      <c r="C261" t="s">
        <v>28</v>
      </c>
      <c r="D261">
        <v>1</v>
      </c>
      <c r="E261">
        <v>1</v>
      </c>
      <c r="F261">
        <v>0</v>
      </c>
      <c r="G261">
        <v>2</v>
      </c>
      <c r="H261">
        <v>2</v>
      </c>
      <c r="I261">
        <v>2</v>
      </c>
      <c r="J261">
        <v>16</v>
      </c>
      <c r="K261">
        <v>12.5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</v>
      </c>
      <c r="R261">
        <v>3</v>
      </c>
      <c r="S261">
        <v>0</v>
      </c>
      <c r="T261">
        <v>18</v>
      </c>
      <c r="U261">
        <v>0</v>
      </c>
      <c r="V261" t="s">
        <v>37</v>
      </c>
      <c r="W261" t="s">
        <v>37</v>
      </c>
      <c r="X261">
        <v>6</v>
      </c>
      <c r="Y261" t="s">
        <v>37</v>
      </c>
      <c r="Z261">
        <v>0</v>
      </c>
      <c r="AA261">
        <v>0</v>
      </c>
      <c r="AB261">
        <v>0</v>
      </c>
      <c r="AC261">
        <v>0</v>
      </c>
      <c r="AD261">
        <f t="shared" ca="1" si="4"/>
        <v>17</v>
      </c>
      <c r="AE261" t="e">
        <f>AVERAGE(Table1[[#This Row],[Runs Conceded]]/Table1[[#This Row],[Wickets Taken]])</f>
        <v>#DIV/0!</v>
      </c>
    </row>
    <row r="262" spans="1:31" x14ac:dyDescent="0.3">
      <c r="A262" t="s">
        <v>211</v>
      </c>
      <c r="B262" t="s">
        <v>231</v>
      </c>
      <c r="C262" t="s">
        <v>28</v>
      </c>
      <c r="D262">
        <v>1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4</v>
      </c>
      <c r="K262">
        <v>0</v>
      </c>
      <c r="L262">
        <v>0</v>
      </c>
      <c r="M262">
        <v>0</v>
      </c>
      <c r="N262">
        <v>1</v>
      </c>
      <c r="O262">
        <v>0</v>
      </c>
      <c r="P262">
        <v>0</v>
      </c>
      <c r="Q262" t="s">
        <v>37</v>
      </c>
      <c r="R262" t="s">
        <v>37</v>
      </c>
      <c r="S262" t="s">
        <v>37</v>
      </c>
      <c r="T262" t="s">
        <v>37</v>
      </c>
      <c r="U262" t="s">
        <v>37</v>
      </c>
      <c r="V262" t="s">
        <v>37</v>
      </c>
      <c r="W262" t="s">
        <v>37</v>
      </c>
      <c r="X262" t="s">
        <v>37</v>
      </c>
      <c r="Y262" t="s">
        <v>37</v>
      </c>
      <c r="Z262" t="s">
        <v>37</v>
      </c>
      <c r="AA262" t="s">
        <v>37</v>
      </c>
      <c r="AB262">
        <v>0</v>
      </c>
      <c r="AC262">
        <v>0</v>
      </c>
      <c r="AD262">
        <f t="shared" ca="1" si="4"/>
        <v>18</v>
      </c>
      <c r="AE262" t="e">
        <f>AVERAGE(Table1[[#This Row],[Runs Conceded]]/Table1[[#This Row],[Wickets Taken]])</f>
        <v>#VALUE!</v>
      </c>
    </row>
    <row r="263" spans="1:31" x14ac:dyDescent="0.3">
      <c r="A263" t="s">
        <v>211</v>
      </c>
      <c r="B263" t="s">
        <v>232</v>
      </c>
      <c r="C263" t="s">
        <v>28</v>
      </c>
      <c r="D263">
        <v>1</v>
      </c>
      <c r="E263" t="s">
        <v>37</v>
      </c>
      <c r="F263" t="s">
        <v>37</v>
      </c>
      <c r="G263" t="s">
        <v>37</v>
      </c>
      <c r="H263" t="s">
        <v>37</v>
      </c>
      <c r="I263" t="s">
        <v>37</v>
      </c>
      <c r="J263" t="s">
        <v>37</v>
      </c>
      <c r="K263" t="s">
        <v>37</v>
      </c>
      <c r="L263" t="s">
        <v>37</v>
      </c>
      <c r="M263" t="s">
        <v>37</v>
      </c>
      <c r="N263" t="s">
        <v>37</v>
      </c>
      <c r="O263" t="s">
        <v>37</v>
      </c>
      <c r="P263" t="s">
        <v>37</v>
      </c>
      <c r="Q263">
        <v>1</v>
      </c>
      <c r="R263">
        <v>2</v>
      </c>
      <c r="S263">
        <v>0</v>
      </c>
      <c r="T263">
        <v>31</v>
      </c>
      <c r="U263">
        <v>0</v>
      </c>
      <c r="V263" t="s">
        <v>37</v>
      </c>
      <c r="W263" t="s">
        <v>37</v>
      </c>
      <c r="X263">
        <v>15.5</v>
      </c>
      <c r="Y263" t="s">
        <v>37</v>
      </c>
      <c r="Z263">
        <v>0</v>
      </c>
      <c r="AA263">
        <v>0</v>
      </c>
      <c r="AB263">
        <v>0</v>
      </c>
      <c r="AC263">
        <v>0</v>
      </c>
      <c r="AD263">
        <f t="shared" ca="1" si="4"/>
        <v>7</v>
      </c>
      <c r="AE263" t="e">
        <f>AVERAGE(Table1[[#This Row],[Runs Conceded]]/Table1[[#This Row],[Wickets Taken]])</f>
        <v>#DIV/0!</v>
      </c>
    </row>
    <row r="264" spans="1:31" x14ac:dyDescent="0.3">
      <c r="A264" t="s">
        <v>211</v>
      </c>
      <c r="B264" t="s">
        <v>233</v>
      </c>
      <c r="C264" t="s">
        <v>32</v>
      </c>
      <c r="D264">
        <v>9</v>
      </c>
      <c r="E264">
        <v>6</v>
      </c>
      <c r="F264">
        <v>2</v>
      </c>
      <c r="G264">
        <v>96</v>
      </c>
      <c r="H264">
        <v>37</v>
      </c>
      <c r="I264">
        <v>24</v>
      </c>
      <c r="J264">
        <v>58</v>
      </c>
      <c r="K264">
        <v>165.51</v>
      </c>
      <c r="L264">
        <v>0</v>
      </c>
      <c r="M264">
        <v>0</v>
      </c>
      <c r="N264">
        <v>0</v>
      </c>
      <c r="O264">
        <v>5</v>
      </c>
      <c r="P264">
        <v>8</v>
      </c>
      <c r="Q264">
        <v>7</v>
      </c>
      <c r="R264">
        <v>17</v>
      </c>
      <c r="S264">
        <v>0</v>
      </c>
      <c r="T264">
        <v>168</v>
      </c>
      <c r="U264">
        <v>2</v>
      </c>
      <c r="V264" s="2">
        <v>44166</v>
      </c>
      <c r="W264">
        <v>84</v>
      </c>
      <c r="X264">
        <v>9.8800000000000008</v>
      </c>
      <c r="Y264">
        <v>51</v>
      </c>
      <c r="Z264">
        <v>0</v>
      </c>
      <c r="AA264">
        <v>0</v>
      </c>
      <c r="AB264">
        <v>7</v>
      </c>
      <c r="AC264">
        <v>0</v>
      </c>
      <c r="AD264">
        <f t="shared" ca="1" si="4"/>
        <v>13</v>
      </c>
      <c r="AE264">
        <f>AVERAGE(Table1[[#This Row],[Runs Conceded]]/Table1[[#This Row],[Wickets Taken]])</f>
        <v>84</v>
      </c>
    </row>
    <row r="265" spans="1:31" x14ac:dyDescent="0.3">
      <c r="A265" t="s">
        <v>211</v>
      </c>
      <c r="B265" t="s">
        <v>233</v>
      </c>
      <c r="C265" t="s">
        <v>92</v>
      </c>
      <c r="D265">
        <v>3</v>
      </c>
      <c r="E265">
        <v>3</v>
      </c>
      <c r="F265">
        <v>1</v>
      </c>
      <c r="G265">
        <v>18</v>
      </c>
      <c r="H265" t="s">
        <v>54</v>
      </c>
      <c r="I265">
        <v>9</v>
      </c>
      <c r="J265">
        <v>17</v>
      </c>
      <c r="K265">
        <v>105.88</v>
      </c>
      <c r="L265">
        <v>0</v>
      </c>
      <c r="M265">
        <v>0</v>
      </c>
      <c r="N265">
        <v>0</v>
      </c>
      <c r="O265">
        <v>1</v>
      </c>
      <c r="P265">
        <v>1</v>
      </c>
      <c r="Q265">
        <v>1</v>
      </c>
      <c r="R265">
        <v>2</v>
      </c>
      <c r="S265">
        <v>0</v>
      </c>
      <c r="T265">
        <v>27</v>
      </c>
      <c r="U265">
        <v>1</v>
      </c>
      <c r="V265" s="1">
        <v>46388</v>
      </c>
      <c r="W265">
        <v>27</v>
      </c>
      <c r="X265">
        <v>13.5</v>
      </c>
      <c r="Y265">
        <v>12</v>
      </c>
      <c r="Z265">
        <v>0</v>
      </c>
      <c r="AA265">
        <v>0</v>
      </c>
      <c r="AB265">
        <v>0</v>
      </c>
      <c r="AC265">
        <v>0</v>
      </c>
      <c r="AD265">
        <f t="shared" ca="1" si="4"/>
        <v>16</v>
      </c>
      <c r="AE265">
        <f>AVERAGE(Table1[[#This Row],[Runs Conceded]]/Table1[[#This Row],[Wickets Taken]])</f>
        <v>27</v>
      </c>
    </row>
    <row r="266" spans="1:31" x14ac:dyDescent="0.3">
      <c r="A266" t="s">
        <v>211</v>
      </c>
      <c r="B266" t="s">
        <v>135</v>
      </c>
      <c r="C266" t="s">
        <v>92</v>
      </c>
      <c r="D266">
        <v>4</v>
      </c>
      <c r="E266">
        <v>4</v>
      </c>
      <c r="F266">
        <v>0</v>
      </c>
      <c r="G266">
        <v>98</v>
      </c>
      <c r="H266">
        <v>53</v>
      </c>
      <c r="I266">
        <v>24.5</v>
      </c>
      <c r="J266">
        <v>75</v>
      </c>
      <c r="K266">
        <v>130.66</v>
      </c>
      <c r="L266">
        <v>0</v>
      </c>
      <c r="M266">
        <v>1</v>
      </c>
      <c r="N266">
        <v>0</v>
      </c>
      <c r="O266">
        <v>7</v>
      </c>
      <c r="P266">
        <v>6</v>
      </c>
      <c r="Q266" t="s">
        <v>37</v>
      </c>
      <c r="R266" t="s">
        <v>37</v>
      </c>
      <c r="S266" t="s">
        <v>37</v>
      </c>
      <c r="T266" t="s">
        <v>37</v>
      </c>
      <c r="U266" t="s">
        <v>37</v>
      </c>
      <c r="V266" t="s">
        <v>37</v>
      </c>
      <c r="W266" t="s">
        <v>37</v>
      </c>
      <c r="X266" t="s">
        <v>37</v>
      </c>
      <c r="Y266" t="s">
        <v>37</v>
      </c>
      <c r="Z266" t="s">
        <v>37</v>
      </c>
      <c r="AA266" t="s">
        <v>37</v>
      </c>
      <c r="AB266">
        <v>0</v>
      </c>
      <c r="AC266">
        <v>0</v>
      </c>
      <c r="AD266">
        <f t="shared" ca="1" si="4"/>
        <v>16</v>
      </c>
      <c r="AE266" t="e">
        <f>AVERAGE(Table1[[#This Row],[Runs Conceded]]/Table1[[#This Row],[Wickets Taken]])</f>
        <v>#VALUE!</v>
      </c>
    </row>
    <row r="267" spans="1:31" x14ac:dyDescent="0.3">
      <c r="A267" t="s">
        <v>211</v>
      </c>
      <c r="B267" t="s">
        <v>234</v>
      </c>
      <c r="C267" t="s">
        <v>30</v>
      </c>
      <c r="D267">
        <v>9</v>
      </c>
      <c r="E267">
        <v>6</v>
      </c>
      <c r="F267">
        <v>0</v>
      </c>
      <c r="G267">
        <v>49</v>
      </c>
      <c r="H267">
        <v>19</v>
      </c>
      <c r="I267">
        <v>8.16</v>
      </c>
      <c r="J267">
        <v>41</v>
      </c>
      <c r="K267">
        <v>119.51</v>
      </c>
      <c r="L267">
        <v>0</v>
      </c>
      <c r="M267">
        <v>0</v>
      </c>
      <c r="N267">
        <v>0</v>
      </c>
      <c r="O267">
        <v>5</v>
      </c>
      <c r="P267">
        <v>2</v>
      </c>
      <c r="Q267">
        <v>9</v>
      </c>
      <c r="R267">
        <v>30.4</v>
      </c>
      <c r="S267">
        <v>0</v>
      </c>
      <c r="T267">
        <v>214</v>
      </c>
      <c r="U267">
        <v>13</v>
      </c>
      <c r="V267" s="1">
        <v>42461</v>
      </c>
      <c r="W267">
        <v>16.46</v>
      </c>
      <c r="X267">
        <v>6.97</v>
      </c>
      <c r="Y267">
        <v>14.1</v>
      </c>
      <c r="Z267">
        <v>1</v>
      </c>
      <c r="AA267">
        <v>0</v>
      </c>
      <c r="AB267">
        <v>3</v>
      </c>
      <c r="AC267">
        <v>0</v>
      </c>
      <c r="AD267">
        <f t="shared" ca="1" si="4"/>
        <v>18</v>
      </c>
      <c r="AE267">
        <f>AVERAGE(Table1[[#This Row],[Runs Conceded]]/Table1[[#This Row],[Wickets Taken]])</f>
        <v>16.46153846153846</v>
      </c>
    </row>
    <row r="268" spans="1:31" x14ac:dyDescent="0.3">
      <c r="A268" t="s">
        <v>211</v>
      </c>
      <c r="B268" t="s">
        <v>137</v>
      </c>
      <c r="C268" t="s">
        <v>92</v>
      </c>
      <c r="D268">
        <v>2</v>
      </c>
      <c r="E268">
        <v>1</v>
      </c>
      <c r="F268">
        <v>1</v>
      </c>
      <c r="G268">
        <v>3</v>
      </c>
      <c r="H268" t="s">
        <v>235</v>
      </c>
      <c r="I268" t="s">
        <v>37</v>
      </c>
      <c r="J268">
        <v>3</v>
      </c>
      <c r="K268">
        <v>100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</v>
      </c>
      <c r="R268">
        <v>4</v>
      </c>
      <c r="S268">
        <v>0</v>
      </c>
      <c r="T268">
        <v>51</v>
      </c>
      <c r="U268">
        <v>0</v>
      </c>
      <c r="V268" t="s">
        <v>37</v>
      </c>
      <c r="W268" t="s">
        <v>37</v>
      </c>
      <c r="X268">
        <v>12.75</v>
      </c>
      <c r="Y268" t="s">
        <v>37</v>
      </c>
      <c r="Z268">
        <v>0</v>
      </c>
      <c r="AA268">
        <v>0</v>
      </c>
      <c r="AB268">
        <v>0</v>
      </c>
      <c r="AC268">
        <v>0</v>
      </c>
      <c r="AD268">
        <f t="shared" ca="1" si="4"/>
        <v>12</v>
      </c>
      <c r="AE268" t="e">
        <f>AVERAGE(Table1[[#This Row],[Runs Conceded]]/Table1[[#This Row],[Wickets Taken]])</f>
        <v>#DIV/0!</v>
      </c>
    </row>
    <row r="269" spans="1:31" x14ac:dyDescent="0.3">
      <c r="A269" t="s">
        <v>211</v>
      </c>
      <c r="B269" t="s">
        <v>236</v>
      </c>
      <c r="C269" t="s">
        <v>32</v>
      </c>
      <c r="D269">
        <v>7</v>
      </c>
      <c r="E269">
        <v>2</v>
      </c>
      <c r="F269">
        <v>1</v>
      </c>
      <c r="G269">
        <v>1</v>
      </c>
      <c r="H269">
        <v>1</v>
      </c>
      <c r="I269">
        <v>1</v>
      </c>
      <c r="J269">
        <v>3</v>
      </c>
      <c r="K269">
        <v>33.33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7</v>
      </c>
      <c r="R269">
        <v>27.3</v>
      </c>
      <c r="S269">
        <v>0</v>
      </c>
      <c r="T269">
        <v>230</v>
      </c>
      <c r="U269">
        <v>7</v>
      </c>
      <c r="V269" s="1">
        <v>45352</v>
      </c>
      <c r="W269">
        <v>32.85</v>
      </c>
      <c r="X269">
        <v>8.36</v>
      </c>
      <c r="Y269">
        <v>23.5</v>
      </c>
      <c r="Z269">
        <v>0</v>
      </c>
      <c r="AA269">
        <v>0</v>
      </c>
      <c r="AB269">
        <v>2</v>
      </c>
      <c r="AC269">
        <v>0</v>
      </c>
      <c r="AD269">
        <f t="shared" ca="1" si="4"/>
        <v>7</v>
      </c>
      <c r="AE269">
        <f>AVERAGE(Table1[[#This Row],[Runs Conceded]]/Table1[[#This Row],[Wickets Taken]])</f>
        <v>32.857142857142854</v>
      </c>
    </row>
    <row r="270" spans="1:31" x14ac:dyDescent="0.3">
      <c r="A270" t="s">
        <v>211</v>
      </c>
      <c r="B270" t="s">
        <v>237</v>
      </c>
      <c r="C270" t="s">
        <v>32</v>
      </c>
      <c r="D270">
        <v>14</v>
      </c>
      <c r="E270">
        <v>12</v>
      </c>
      <c r="F270">
        <v>0</v>
      </c>
      <c r="G270">
        <v>275</v>
      </c>
      <c r="H270">
        <v>62</v>
      </c>
      <c r="I270">
        <v>22.91</v>
      </c>
      <c r="J270">
        <v>184</v>
      </c>
      <c r="K270">
        <v>149.44999999999999</v>
      </c>
      <c r="L270">
        <v>0</v>
      </c>
      <c r="M270">
        <v>2</v>
      </c>
      <c r="N270">
        <v>3</v>
      </c>
      <c r="O270">
        <v>22</v>
      </c>
      <c r="P270">
        <v>17</v>
      </c>
      <c r="Q270" t="s">
        <v>37</v>
      </c>
      <c r="R270" t="s">
        <v>37</v>
      </c>
      <c r="S270" t="s">
        <v>37</v>
      </c>
      <c r="T270" t="s">
        <v>37</v>
      </c>
      <c r="U270" t="s">
        <v>37</v>
      </c>
      <c r="V270" t="s">
        <v>37</v>
      </c>
      <c r="W270" t="s">
        <v>37</v>
      </c>
      <c r="X270" t="s">
        <v>37</v>
      </c>
      <c r="Y270" t="s">
        <v>37</v>
      </c>
      <c r="Z270" t="s">
        <v>37</v>
      </c>
      <c r="AA270" t="s">
        <v>37</v>
      </c>
      <c r="AB270">
        <v>9</v>
      </c>
      <c r="AC270">
        <v>2</v>
      </c>
      <c r="AD270">
        <f t="shared" ca="1" si="4"/>
        <v>3</v>
      </c>
      <c r="AE270" t="e">
        <f>AVERAGE(Table1[[#This Row],[Runs Conceded]]/Table1[[#This Row],[Wickets Taken]])</f>
        <v>#VALUE!</v>
      </c>
    </row>
    <row r="271" spans="1:31" x14ac:dyDescent="0.3">
      <c r="A271" t="s">
        <v>211</v>
      </c>
      <c r="B271" t="s">
        <v>237</v>
      </c>
      <c r="C271" t="s">
        <v>92</v>
      </c>
      <c r="D271">
        <v>7</v>
      </c>
      <c r="E271">
        <v>6</v>
      </c>
      <c r="F271">
        <v>0</v>
      </c>
      <c r="G271">
        <v>101</v>
      </c>
      <c r="H271">
        <v>28</v>
      </c>
      <c r="I271">
        <v>16.829999999999998</v>
      </c>
      <c r="J271">
        <v>100</v>
      </c>
      <c r="K271">
        <v>101</v>
      </c>
      <c r="L271">
        <v>0</v>
      </c>
      <c r="M271">
        <v>0</v>
      </c>
      <c r="N271">
        <v>0</v>
      </c>
      <c r="O271">
        <v>8</v>
      </c>
      <c r="P271">
        <v>4</v>
      </c>
      <c r="Q271" t="s">
        <v>37</v>
      </c>
      <c r="R271" t="s">
        <v>37</v>
      </c>
      <c r="S271" t="s">
        <v>37</v>
      </c>
      <c r="T271" t="s">
        <v>37</v>
      </c>
      <c r="U271" t="s">
        <v>37</v>
      </c>
      <c r="V271" t="s">
        <v>37</v>
      </c>
      <c r="W271" t="s">
        <v>37</v>
      </c>
      <c r="X271" t="s">
        <v>37</v>
      </c>
      <c r="Y271" t="s">
        <v>37</v>
      </c>
      <c r="Z271" t="s">
        <v>37</v>
      </c>
      <c r="AA271" t="s">
        <v>37</v>
      </c>
      <c r="AB271">
        <v>2</v>
      </c>
      <c r="AC271">
        <v>0</v>
      </c>
      <c r="AD271">
        <f t="shared" ca="1" si="4"/>
        <v>7</v>
      </c>
      <c r="AE271" t="e">
        <f>AVERAGE(Table1[[#This Row],[Runs Conceded]]/Table1[[#This Row],[Wickets Taken]])</f>
        <v>#VALUE!</v>
      </c>
    </row>
    <row r="272" spans="1:31" x14ac:dyDescent="0.3">
      <c r="A272" t="s">
        <v>211</v>
      </c>
      <c r="B272" t="s">
        <v>238</v>
      </c>
      <c r="C272" t="s">
        <v>32</v>
      </c>
      <c r="D272">
        <v>1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4</v>
      </c>
      <c r="K272">
        <v>0</v>
      </c>
      <c r="L272">
        <v>0</v>
      </c>
      <c r="M272">
        <v>0</v>
      </c>
      <c r="N272">
        <v>1</v>
      </c>
      <c r="O272">
        <v>0</v>
      </c>
      <c r="P272">
        <v>0</v>
      </c>
      <c r="Q272">
        <v>1</v>
      </c>
      <c r="R272">
        <v>2</v>
      </c>
      <c r="S272">
        <v>0</v>
      </c>
      <c r="T272">
        <v>19</v>
      </c>
      <c r="U272">
        <v>0</v>
      </c>
      <c r="V272" t="s">
        <v>37</v>
      </c>
      <c r="W272" t="s">
        <v>37</v>
      </c>
      <c r="X272">
        <v>9.5</v>
      </c>
      <c r="Y272" t="s">
        <v>37</v>
      </c>
      <c r="Z272">
        <v>0</v>
      </c>
      <c r="AA272">
        <v>0</v>
      </c>
      <c r="AB272">
        <v>0</v>
      </c>
      <c r="AC272">
        <v>0</v>
      </c>
      <c r="AD272">
        <f t="shared" ca="1" si="4"/>
        <v>17</v>
      </c>
      <c r="AE272" t="e">
        <f>AVERAGE(Table1[[#This Row],[Runs Conceded]]/Table1[[#This Row],[Wickets Taken]])</f>
        <v>#DIV/0!</v>
      </c>
    </row>
    <row r="273" spans="1:31" x14ac:dyDescent="0.3">
      <c r="A273" t="s">
        <v>211</v>
      </c>
      <c r="B273" t="s">
        <v>239</v>
      </c>
      <c r="C273" t="s">
        <v>30</v>
      </c>
      <c r="D273">
        <v>1</v>
      </c>
      <c r="E273">
        <v>1</v>
      </c>
      <c r="F273">
        <v>0</v>
      </c>
      <c r="G273">
        <v>52</v>
      </c>
      <c r="H273">
        <v>52</v>
      </c>
      <c r="I273">
        <v>52</v>
      </c>
      <c r="J273">
        <v>43</v>
      </c>
      <c r="K273">
        <v>120.93</v>
      </c>
      <c r="L273">
        <v>0</v>
      </c>
      <c r="M273">
        <v>1</v>
      </c>
      <c r="N273">
        <v>0</v>
      </c>
      <c r="O273">
        <v>9</v>
      </c>
      <c r="P273">
        <v>0</v>
      </c>
      <c r="Q273" t="s">
        <v>37</v>
      </c>
      <c r="R273" t="s">
        <v>37</v>
      </c>
      <c r="S273" t="s">
        <v>37</v>
      </c>
      <c r="T273" t="s">
        <v>37</v>
      </c>
      <c r="U273" t="s">
        <v>37</v>
      </c>
      <c r="V273" t="s">
        <v>37</v>
      </c>
      <c r="W273" t="s">
        <v>37</v>
      </c>
      <c r="X273" t="s">
        <v>37</v>
      </c>
      <c r="Y273" t="s">
        <v>37</v>
      </c>
      <c r="Z273" t="s">
        <v>37</v>
      </c>
      <c r="AA273" t="s">
        <v>37</v>
      </c>
      <c r="AB273">
        <v>0</v>
      </c>
      <c r="AC273">
        <v>0</v>
      </c>
      <c r="AD273">
        <f t="shared" ca="1" si="4"/>
        <v>17</v>
      </c>
      <c r="AE273" t="e">
        <f>AVERAGE(Table1[[#This Row],[Runs Conceded]]/Table1[[#This Row],[Wickets Taken]])</f>
        <v>#VALUE!</v>
      </c>
    </row>
    <row r="274" spans="1:31" x14ac:dyDescent="0.3">
      <c r="A274" t="s">
        <v>211</v>
      </c>
      <c r="B274" t="s">
        <v>240</v>
      </c>
      <c r="C274" t="s">
        <v>30</v>
      </c>
      <c r="D274">
        <v>12</v>
      </c>
      <c r="E274">
        <v>2</v>
      </c>
      <c r="F274">
        <v>2</v>
      </c>
      <c r="G274">
        <v>7</v>
      </c>
      <c r="H274" t="s">
        <v>57</v>
      </c>
      <c r="I274" t="s">
        <v>37</v>
      </c>
      <c r="J274">
        <v>3</v>
      </c>
      <c r="K274">
        <v>233.33</v>
      </c>
      <c r="L274">
        <v>0</v>
      </c>
      <c r="M274">
        <v>0</v>
      </c>
      <c r="N274">
        <v>0</v>
      </c>
      <c r="O274">
        <v>0</v>
      </c>
      <c r="P274">
        <v>1</v>
      </c>
      <c r="Q274">
        <v>12</v>
      </c>
      <c r="R274">
        <v>44.5</v>
      </c>
      <c r="S274">
        <v>0</v>
      </c>
      <c r="T274">
        <v>382</v>
      </c>
      <c r="U274">
        <v>11</v>
      </c>
      <c r="V274" s="2">
        <v>43953</v>
      </c>
      <c r="W274">
        <v>34.72</v>
      </c>
      <c r="X274">
        <v>8.52</v>
      </c>
      <c r="Y274">
        <v>24.4</v>
      </c>
      <c r="Z274">
        <v>0</v>
      </c>
      <c r="AA274">
        <v>0</v>
      </c>
      <c r="AB274">
        <v>1</v>
      </c>
      <c r="AC274">
        <v>0</v>
      </c>
      <c r="AD274">
        <f t="shared" ca="1" si="4"/>
        <v>15</v>
      </c>
      <c r="AE274">
        <f>AVERAGE(Table1[[#This Row],[Runs Conceded]]/Table1[[#This Row],[Wickets Taken]])</f>
        <v>34.727272727272727</v>
      </c>
    </row>
    <row r="275" spans="1:31" x14ac:dyDescent="0.3">
      <c r="A275" t="s">
        <v>211</v>
      </c>
      <c r="B275" t="s">
        <v>240</v>
      </c>
      <c r="C275" t="s">
        <v>92</v>
      </c>
      <c r="D275">
        <v>12</v>
      </c>
      <c r="E275" t="s">
        <v>37</v>
      </c>
      <c r="F275" t="s">
        <v>37</v>
      </c>
      <c r="G275" t="s">
        <v>37</v>
      </c>
      <c r="H275" t="s">
        <v>37</v>
      </c>
      <c r="I275" t="s">
        <v>37</v>
      </c>
      <c r="J275" t="s">
        <v>37</v>
      </c>
      <c r="K275" t="s">
        <v>37</v>
      </c>
      <c r="L275" t="s">
        <v>37</v>
      </c>
      <c r="M275" t="s">
        <v>37</v>
      </c>
      <c r="N275" t="s">
        <v>37</v>
      </c>
      <c r="O275" t="s">
        <v>37</v>
      </c>
      <c r="P275" t="s">
        <v>37</v>
      </c>
      <c r="Q275">
        <v>12</v>
      </c>
      <c r="R275">
        <v>44.5</v>
      </c>
      <c r="S275">
        <v>0</v>
      </c>
      <c r="T275">
        <v>438</v>
      </c>
      <c r="U275">
        <v>16</v>
      </c>
      <c r="V275" s="1">
        <v>11414</v>
      </c>
      <c r="W275">
        <v>27.37</v>
      </c>
      <c r="X275">
        <v>9.76</v>
      </c>
      <c r="Y275">
        <v>16.8</v>
      </c>
      <c r="Z275">
        <v>2</v>
      </c>
      <c r="AA275">
        <v>0</v>
      </c>
      <c r="AB275">
        <v>1</v>
      </c>
      <c r="AC275">
        <v>0</v>
      </c>
      <c r="AD275">
        <f t="shared" ca="1" si="4"/>
        <v>15</v>
      </c>
      <c r="AE275">
        <f>AVERAGE(Table1[[#This Row],[Runs Conceded]]/Table1[[#This Row],[Wickets Taken]])</f>
        <v>27.375</v>
      </c>
    </row>
    <row r="276" spans="1:31" x14ac:dyDescent="0.3">
      <c r="A276" t="s">
        <v>211</v>
      </c>
      <c r="B276" t="s">
        <v>241</v>
      </c>
      <c r="C276" t="s">
        <v>92</v>
      </c>
      <c r="D276">
        <v>13</v>
      </c>
      <c r="E276">
        <v>4</v>
      </c>
      <c r="F276">
        <v>2</v>
      </c>
      <c r="G276">
        <v>12</v>
      </c>
      <c r="H276">
        <v>10</v>
      </c>
      <c r="I276">
        <v>6</v>
      </c>
      <c r="J276">
        <v>11</v>
      </c>
      <c r="K276">
        <v>109.09</v>
      </c>
      <c r="L276">
        <v>0</v>
      </c>
      <c r="M276">
        <v>0</v>
      </c>
      <c r="N276">
        <v>1</v>
      </c>
      <c r="O276">
        <v>2</v>
      </c>
      <c r="P276">
        <v>0</v>
      </c>
      <c r="Q276">
        <v>13</v>
      </c>
      <c r="R276">
        <v>47</v>
      </c>
      <c r="S276">
        <v>0</v>
      </c>
      <c r="T276">
        <v>308</v>
      </c>
      <c r="U276">
        <v>13</v>
      </c>
      <c r="V276" s="1">
        <v>43525</v>
      </c>
      <c r="W276">
        <v>23.69</v>
      </c>
      <c r="X276">
        <v>6.55</v>
      </c>
      <c r="Y276">
        <v>21.6</v>
      </c>
      <c r="Z276">
        <v>0</v>
      </c>
      <c r="AA276">
        <v>0</v>
      </c>
      <c r="AB276">
        <v>3</v>
      </c>
      <c r="AC276">
        <v>0</v>
      </c>
      <c r="AD276">
        <f t="shared" ca="1" si="4"/>
        <v>4</v>
      </c>
      <c r="AE276">
        <f>AVERAGE(Table1[[#This Row],[Runs Conceded]]/Table1[[#This Row],[Wickets Taken]])</f>
        <v>23.692307692307693</v>
      </c>
    </row>
    <row r="277" spans="1:31" x14ac:dyDescent="0.3">
      <c r="A277" t="s">
        <v>211</v>
      </c>
      <c r="B277" t="s">
        <v>242</v>
      </c>
      <c r="C277" t="s">
        <v>32</v>
      </c>
      <c r="D277">
        <v>13</v>
      </c>
      <c r="E277">
        <v>13</v>
      </c>
      <c r="F277">
        <v>0</v>
      </c>
      <c r="G277">
        <v>382</v>
      </c>
      <c r="H277">
        <v>65</v>
      </c>
      <c r="I277">
        <v>29.38</v>
      </c>
      <c r="J277">
        <v>276</v>
      </c>
      <c r="K277">
        <v>138.4</v>
      </c>
      <c r="L277">
        <v>0</v>
      </c>
      <c r="M277">
        <v>2</v>
      </c>
      <c r="N277">
        <v>2</v>
      </c>
      <c r="O277">
        <v>32</v>
      </c>
      <c r="P277">
        <v>24</v>
      </c>
      <c r="Q277" t="s">
        <v>37</v>
      </c>
      <c r="R277" t="s">
        <v>37</v>
      </c>
      <c r="S277" t="s">
        <v>37</v>
      </c>
      <c r="T277" t="s">
        <v>37</v>
      </c>
      <c r="U277" t="s">
        <v>37</v>
      </c>
      <c r="V277" t="s">
        <v>37</v>
      </c>
      <c r="W277" t="s">
        <v>37</v>
      </c>
      <c r="X277" t="s">
        <v>37</v>
      </c>
      <c r="Y277" t="s">
        <v>37</v>
      </c>
      <c r="Z277" t="s">
        <v>37</v>
      </c>
      <c r="AA277" t="s">
        <v>37</v>
      </c>
      <c r="AB277">
        <v>3</v>
      </c>
      <c r="AC277">
        <v>0</v>
      </c>
      <c r="AD277">
        <f t="shared" ca="1" si="4"/>
        <v>3</v>
      </c>
      <c r="AE277" t="e">
        <f>AVERAGE(Table1[[#This Row],[Runs Conceded]]/Table1[[#This Row],[Wickets Taken]])</f>
        <v>#VALUE!</v>
      </c>
    </row>
    <row r="278" spans="1:31" x14ac:dyDescent="0.3">
      <c r="A278" t="s">
        <v>211</v>
      </c>
      <c r="B278" t="s">
        <v>242</v>
      </c>
      <c r="C278" t="s">
        <v>92</v>
      </c>
      <c r="D278">
        <v>3</v>
      </c>
      <c r="E278">
        <v>3</v>
      </c>
      <c r="F278">
        <v>0</v>
      </c>
      <c r="G278">
        <v>48</v>
      </c>
      <c r="H278">
        <v>32</v>
      </c>
      <c r="I278">
        <v>16</v>
      </c>
      <c r="J278">
        <v>52</v>
      </c>
      <c r="K278">
        <v>92.3</v>
      </c>
      <c r="L278">
        <v>0</v>
      </c>
      <c r="M278">
        <v>0</v>
      </c>
      <c r="N278">
        <v>0</v>
      </c>
      <c r="O278">
        <v>4</v>
      </c>
      <c r="P278">
        <v>2</v>
      </c>
      <c r="Q278" t="s">
        <v>37</v>
      </c>
      <c r="R278" t="s">
        <v>37</v>
      </c>
      <c r="S278" t="s">
        <v>37</v>
      </c>
      <c r="T278" t="s">
        <v>37</v>
      </c>
      <c r="U278" t="s">
        <v>37</v>
      </c>
      <c r="V278" t="s">
        <v>37</v>
      </c>
      <c r="W278" t="s">
        <v>37</v>
      </c>
      <c r="X278" t="s">
        <v>37</v>
      </c>
      <c r="Y278" t="s">
        <v>37</v>
      </c>
      <c r="Z278" t="s">
        <v>37</v>
      </c>
      <c r="AA278" t="s">
        <v>37</v>
      </c>
      <c r="AB278">
        <v>3</v>
      </c>
      <c r="AC278">
        <v>0</v>
      </c>
      <c r="AD278">
        <f t="shared" ca="1" si="4"/>
        <v>16</v>
      </c>
      <c r="AE278" t="e">
        <f>AVERAGE(Table1[[#This Row],[Runs Conceded]]/Table1[[#This Row],[Wickets Taken]])</f>
        <v>#VALUE!</v>
      </c>
    </row>
    <row r="279" spans="1:31" x14ac:dyDescent="0.3">
      <c r="A279" t="s">
        <v>211</v>
      </c>
      <c r="B279" t="s">
        <v>243</v>
      </c>
      <c r="C279" t="s">
        <v>32</v>
      </c>
      <c r="D279">
        <v>14</v>
      </c>
      <c r="E279">
        <v>6</v>
      </c>
      <c r="F279">
        <v>4</v>
      </c>
      <c r="G279">
        <v>21</v>
      </c>
      <c r="H279" t="s">
        <v>57</v>
      </c>
      <c r="I279">
        <v>10.5</v>
      </c>
      <c r="J279">
        <v>24</v>
      </c>
      <c r="K279">
        <v>87.5</v>
      </c>
      <c r="L279">
        <v>0</v>
      </c>
      <c r="M279">
        <v>0</v>
      </c>
      <c r="N279">
        <v>0</v>
      </c>
      <c r="O279">
        <v>2</v>
      </c>
      <c r="P279">
        <v>0</v>
      </c>
      <c r="Q279">
        <v>14</v>
      </c>
      <c r="R279">
        <v>44</v>
      </c>
      <c r="S279">
        <v>0</v>
      </c>
      <c r="T279">
        <v>368</v>
      </c>
      <c r="U279">
        <v>15</v>
      </c>
      <c r="V279" s="1">
        <v>45017</v>
      </c>
      <c r="W279">
        <v>24.53</v>
      </c>
      <c r="X279">
        <v>8.36</v>
      </c>
      <c r="Y279">
        <v>17.600000000000001</v>
      </c>
      <c r="Z279">
        <v>1</v>
      </c>
      <c r="AA279">
        <v>0</v>
      </c>
      <c r="AB279">
        <v>3</v>
      </c>
      <c r="AC279">
        <v>0</v>
      </c>
      <c r="AD279">
        <f t="shared" ca="1" si="4"/>
        <v>15</v>
      </c>
      <c r="AE279">
        <f>AVERAGE(Table1[[#This Row],[Runs Conceded]]/Table1[[#This Row],[Wickets Taken]])</f>
        <v>24.533333333333335</v>
      </c>
    </row>
    <row r="280" spans="1:31" x14ac:dyDescent="0.3">
      <c r="A280" t="s">
        <v>211</v>
      </c>
      <c r="B280" t="s">
        <v>243</v>
      </c>
      <c r="C280" t="s">
        <v>92</v>
      </c>
      <c r="D280">
        <v>3</v>
      </c>
      <c r="E280">
        <v>2</v>
      </c>
      <c r="F280">
        <v>1</v>
      </c>
      <c r="G280">
        <v>6</v>
      </c>
      <c r="H280">
        <v>6</v>
      </c>
      <c r="I280">
        <v>6</v>
      </c>
      <c r="J280">
        <v>5</v>
      </c>
      <c r="K280">
        <v>120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3</v>
      </c>
      <c r="R280">
        <v>6</v>
      </c>
      <c r="S280">
        <v>0</v>
      </c>
      <c r="T280">
        <v>59</v>
      </c>
      <c r="U280">
        <v>1</v>
      </c>
      <c r="V280" s="1">
        <v>44927</v>
      </c>
      <c r="W280">
        <v>59</v>
      </c>
      <c r="X280">
        <v>9.83</v>
      </c>
      <c r="Y280">
        <v>36</v>
      </c>
      <c r="Z280">
        <v>0</v>
      </c>
      <c r="AA280">
        <v>0</v>
      </c>
      <c r="AB280">
        <v>0</v>
      </c>
      <c r="AC280">
        <v>0</v>
      </c>
      <c r="AD280">
        <f t="shared" ca="1" si="4"/>
        <v>16</v>
      </c>
      <c r="AE280">
        <f>AVERAGE(Table1[[#This Row],[Runs Conceded]]/Table1[[#This Row],[Wickets Taken]])</f>
        <v>59</v>
      </c>
    </row>
    <row r="281" spans="1:31" x14ac:dyDescent="0.3">
      <c r="A281" t="s">
        <v>211</v>
      </c>
      <c r="B281" t="s">
        <v>244</v>
      </c>
      <c r="C281" t="s">
        <v>32</v>
      </c>
      <c r="D281">
        <v>1</v>
      </c>
      <c r="E281">
        <v>1</v>
      </c>
      <c r="F281">
        <v>1</v>
      </c>
      <c r="G281">
        <v>4</v>
      </c>
      <c r="H281" t="s">
        <v>113</v>
      </c>
      <c r="I281" t="s">
        <v>37</v>
      </c>
      <c r="J281">
        <v>5</v>
      </c>
      <c r="K281">
        <v>80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4</v>
      </c>
      <c r="S281">
        <v>0</v>
      </c>
      <c r="T281">
        <v>47</v>
      </c>
      <c r="U281">
        <v>0</v>
      </c>
      <c r="V281" t="s">
        <v>37</v>
      </c>
      <c r="W281" t="s">
        <v>37</v>
      </c>
      <c r="X281">
        <v>11.75</v>
      </c>
      <c r="Y281" t="s">
        <v>37</v>
      </c>
      <c r="Z281">
        <v>0</v>
      </c>
      <c r="AA281">
        <v>0</v>
      </c>
      <c r="AB281">
        <v>0</v>
      </c>
      <c r="AC281">
        <v>0</v>
      </c>
      <c r="AD281">
        <f t="shared" ca="1" si="4"/>
        <v>11</v>
      </c>
      <c r="AE281" t="e">
        <f>AVERAGE(Table1[[#This Row],[Runs Conceded]]/Table1[[#This Row],[Wickets Taken]])</f>
        <v>#DIV/0!</v>
      </c>
    </row>
    <row r="282" spans="1:31" x14ac:dyDescent="0.3">
      <c r="A282" t="s">
        <v>211</v>
      </c>
      <c r="B282" t="s">
        <v>245</v>
      </c>
      <c r="C282" t="s">
        <v>92</v>
      </c>
      <c r="D282">
        <v>1</v>
      </c>
      <c r="E282">
        <v>1</v>
      </c>
      <c r="F282">
        <v>0</v>
      </c>
      <c r="G282">
        <v>15</v>
      </c>
      <c r="H282">
        <v>15</v>
      </c>
      <c r="I282">
        <v>15</v>
      </c>
      <c r="J282">
        <v>13</v>
      </c>
      <c r="K282">
        <v>115.38</v>
      </c>
      <c r="L282">
        <v>0</v>
      </c>
      <c r="M282">
        <v>0</v>
      </c>
      <c r="N282">
        <v>0</v>
      </c>
      <c r="O282">
        <v>1</v>
      </c>
      <c r="P282">
        <v>1</v>
      </c>
      <c r="Q282" t="s">
        <v>37</v>
      </c>
      <c r="R282" t="s">
        <v>37</v>
      </c>
      <c r="S282" t="s">
        <v>37</v>
      </c>
      <c r="T282" t="s">
        <v>37</v>
      </c>
      <c r="U282" t="s">
        <v>37</v>
      </c>
      <c r="V282" t="s">
        <v>37</v>
      </c>
      <c r="W282" t="s">
        <v>37</v>
      </c>
      <c r="X282" t="s">
        <v>37</v>
      </c>
      <c r="Y282" t="s">
        <v>37</v>
      </c>
      <c r="Z282" t="s">
        <v>37</v>
      </c>
      <c r="AA282" t="s">
        <v>37</v>
      </c>
      <c r="AB282">
        <v>0</v>
      </c>
      <c r="AC282">
        <v>0</v>
      </c>
      <c r="AD282">
        <f t="shared" ca="1" si="4"/>
        <v>3</v>
      </c>
      <c r="AE282" t="e">
        <f>AVERAGE(Table1[[#This Row],[Runs Conceded]]/Table1[[#This Row],[Wickets Taken]])</f>
        <v>#VALUE!</v>
      </c>
    </row>
    <row r="283" spans="1:31" x14ac:dyDescent="0.3">
      <c r="A283" t="s">
        <v>211</v>
      </c>
      <c r="B283" t="s">
        <v>246</v>
      </c>
      <c r="C283" t="s">
        <v>92</v>
      </c>
      <c r="D283">
        <v>3</v>
      </c>
      <c r="E283">
        <v>2</v>
      </c>
      <c r="F283">
        <v>2</v>
      </c>
      <c r="G283">
        <v>15</v>
      </c>
      <c r="H283" t="s">
        <v>144</v>
      </c>
      <c r="I283" t="s">
        <v>37</v>
      </c>
      <c r="J283">
        <v>13</v>
      </c>
      <c r="K283">
        <v>115.38</v>
      </c>
      <c r="L283">
        <v>0</v>
      </c>
      <c r="M283">
        <v>0</v>
      </c>
      <c r="N283">
        <v>0</v>
      </c>
      <c r="O283">
        <v>2</v>
      </c>
      <c r="P283">
        <v>0</v>
      </c>
      <c r="Q283">
        <v>3</v>
      </c>
      <c r="R283">
        <v>8.4</v>
      </c>
      <c r="S283">
        <v>1</v>
      </c>
      <c r="T283">
        <v>87</v>
      </c>
      <c r="U283">
        <v>6</v>
      </c>
      <c r="V283" s="2">
        <v>44171</v>
      </c>
      <c r="W283">
        <v>14.5</v>
      </c>
      <c r="X283">
        <v>10.029999999999999</v>
      </c>
      <c r="Y283">
        <v>8.6</v>
      </c>
      <c r="Z283">
        <v>0</v>
      </c>
      <c r="AA283">
        <v>1</v>
      </c>
      <c r="AB283">
        <v>1</v>
      </c>
      <c r="AC283">
        <v>0</v>
      </c>
      <c r="AD283">
        <f t="shared" ca="1" si="4"/>
        <v>4</v>
      </c>
      <c r="AE283">
        <f>AVERAGE(Table1[[#This Row],[Runs Conceded]]/Table1[[#This Row],[Wickets Taken]])</f>
        <v>14.5</v>
      </c>
    </row>
    <row r="284" spans="1:31" x14ac:dyDescent="0.3">
      <c r="A284" t="s">
        <v>211</v>
      </c>
      <c r="B284" t="s">
        <v>247</v>
      </c>
      <c r="C284" t="s">
        <v>92</v>
      </c>
      <c r="D284">
        <v>1</v>
      </c>
      <c r="E284">
        <v>1</v>
      </c>
      <c r="F284">
        <v>1</v>
      </c>
      <c r="G284">
        <v>5</v>
      </c>
      <c r="H284" t="s">
        <v>121</v>
      </c>
      <c r="I284" t="s">
        <v>37</v>
      </c>
      <c r="J284">
        <v>4</v>
      </c>
      <c r="K284">
        <v>125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</v>
      </c>
      <c r="R284">
        <v>4</v>
      </c>
      <c r="S284">
        <v>0</v>
      </c>
      <c r="T284">
        <v>42</v>
      </c>
      <c r="U284">
        <v>0</v>
      </c>
      <c r="V284" t="s">
        <v>37</v>
      </c>
      <c r="W284" t="s">
        <v>37</v>
      </c>
      <c r="X284">
        <v>10.5</v>
      </c>
      <c r="Y284" t="s">
        <v>37</v>
      </c>
      <c r="Z284">
        <v>0</v>
      </c>
      <c r="AA284">
        <v>0</v>
      </c>
      <c r="AB284">
        <v>1</v>
      </c>
      <c r="AC284">
        <v>0</v>
      </c>
      <c r="AD284">
        <f t="shared" ca="1" si="4"/>
        <v>3</v>
      </c>
      <c r="AE284" t="e">
        <f>AVERAGE(Table1[[#This Row],[Runs Conceded]]/Table1[[#This Row],[Wickets Taken]])</f>
        <v>#DIV/0!</v>
      </c>
    </row>
    <row r="285" spans="1:31" x14ac:dyDescent="0.3">
      <c r="A285" t="s">
        <v>211</v>
      </c>
      <c r="B285" t="s">
        <v>248</v>
      </c>
      <c r="C285" t="s">
        <v>92</v>
      </c>
      <c r="D285">
        <v>5</v>
      </c>
      <c r="E285" t="s">
        <v>37</v>
      </c>
      <c r="F285" t="s">
        <v>37</v>
      </c>
      <c r="G285" t="s">
        <v>37</v>
      </c>
      <c r="H285" t="s">
        <v>37</v>
      </c>
      <c r="I285" t="s">
        <v>37</v>
      </c>
      <c r="J285" t="s">
        <v>37</v>
      </c>
      <c r="K285" t="s">
        <v>37</v>
      </c>
      <c r="L285" t="s">
        <v>37</v>
      </c>
      <c r="M285" t="s">
        <v>37</v>
      </c>
      <c r="N285" t="s">
        <v>37</v>
      </c>
      <c r="O285" t="s">
        <v>37</v>
      </c>
      <c r="P285" t="s">
        <v>37</v>
      </c>
      <c r="Q285">
        <v>5</v>
      </c>
      <c r="R285">
        <v>19</v>
      </c>
      <c r="S285">
        <v>0</v>
      </c>
      <c r="T285">
        <v>165</v>
      </c>
      <c r="U285">
        <v>5</v>
      </c>
      <c r="V285" s="1">
        <v>44593</v>
      </c>
      <c r="W285">
        <v>33</v>
      </c>
      <c r="X285">
        <v>8.68</v>
      </c>
      <c r="Y285">
        <v>22.8</v>
      </c>
      <c r="Z285">
        <v>0</v>
      </c>
      <c r="AA285">
        <v>0</v>
      </c>
      <c r="AB285">
        <v>0</v>
      </c>
      <c r="AC285">
        <v>0</v>
      </c>
      <c r="AD285">
        <f t="shared" ca="1" si="4"/>
        <v>13</v>
      </c>
      <c r="AE285">
        <f>AVERAGE(Table1[[#This Row],[Runs Conceded]]/Table1[[#This Row],[Wickets Taken]])</f>
        <v>33</v>
      </c>
    </row>
    <row r="286" spans="1:31" x14ac:dyDescent="0.3">
      <c r="A286" t="s">
        <v>211</v>
      </c>
      <c r="B286" t="s">
        <v>249</v>
      </c>
      <c r="C286" t="s">
        <v>92</v>
      </c>
      <c r="D286">
        <v>1</v>
      </c>
      <c r="E286" t="s">
        <v>37</v>
      </c>
      <c r="F286" t="s">
        <v>37</v>
      </c>
      <c r="G286" t="s">
        <v>37</v>
      </c>
      <c r="H286" t="s">
        <v>37</v>
      </c>
      <c r="I286" t="s">
        <v>37</v>
      </c>
      <c r="J286" t="s">
        <v>37</v>
      </c>
      <c r="K286" t="s">
        <v>37</v>
      </c>
      <c r="L286" t="s">
        <v>37</v>
      </c>
      <c r="M286" t="s">
        <v>37</v>
      </c>
      <c r="N286" t="s">
        <v>37</v>
      </c>
      <c r="O286" t="s">
        <v>37</v>
      </c>
      <c r="P286" t="s">
        <v>37</v>
      </c>
      <c r="Q286">
        <v>1</v>
      </c>
      <c r="R286">
        <v>2</v>
      </c>
      <c r="S286">
        <v>0</v>
      </c>
      <c r="T286">
        <v>11</v>
      </c>
      <c r="U286">
        <v>1</v>
      </c>
      <c r="V286" s="2">
        <v>44136</v>
      </c>
      <c r="W286">
        <v>11</v>
      </c>
      <c r="X286">
        <v>5.5</v>
      </c>
      <c r="Y286">
        <v>12</v>
      </c>
      <c r="Z286">
        <v>0</v>
      </c>
      <c r="AA286">
        <v>0</v>
      </c>
      <c r="AB286">
        <v>0</v>
      </c>
      <c r="AC286">
        <v>0</v>
      </c>
      <c r="AD286">
        <f t="shared" ca="1" si="4"/>
        <v>12</v>
      </c>
      <c r="AE286">
        <f>AVERAGE(Table1[[#This Row],[Runs Conceded]]/Table1[[#This Row],[Wickets Taken]])</f>
        <v>11</v>
      </c>
    </row>
    <row r="287" spans="1:31" x14ac:dyDescent="0.3">
      <c r="A287" t="s">
        <v>250</v>
      </c>
      <c r="B287" t="s">
        <v>36</v>
      </c>
      <c r="C287" t="s">
        <v>32</v>
      </c>
      <c r="D287">
        <v>8</v>
      </c>
      <c r="E287">
        <v>8</v>
      </c>
      <c r="F287">
        <v>0</v>
      </c>
      <c r="G287">
        <v>201</v>
      </c>
      <c r="H287">
        <v>53</v>
      </c>
      <c r="I287">
        <v>25.12</v>
      </c>
      <c r="J287">
        <v>162</v>
      </c>
      <c r="K287">
        <v>124.07</v>
      </c>
      <c r="L287">
        <v>0</v>
      </c>
      <c r="M287">
        <v>1</v>
      </c>
      <c r="N287">
        <v>0</v>
      </c>
      <c r="O287">
        <v>20</v>
      </c>
      <c r="P287">
        <v>8</v>
      </c>
      <c r="Q287" t="s">
        <v>37</v>
      </c>
      <c r="R287" t="s">
        <v>37</v>
      </c>
      <c r="S287" t="s">
        <v>37</v>
      </c>
      <c r="T287" t="s">
        <v>37</v>
      </c>
      <c r="U287" t="s">
        <v>37</v>
      </c>
      <c r="V287" t="s">
        <v>37</v>
      </c>
      <c r="W287" t="s">
        <v>37</v>
      </c>
      <c r="X287" t="s">
        <v>37</v>
      </c>
      <c r="Y287" t="s">
        <v>37</v>
      </c>
      <c r="Z287" t="s">
        <v>37</v>
      </c>
      <c r="AA287" t="s">
        <v>37</v>
      </c>
      <c r="AB287">
        <v>7</v>
      </c>
      <c r="AC287">
        <v>3</v>
      </c>
      <c r="AD287">
        <f t="shared" ca="1" si="4"/>
        <v>3</v>
      </c>
      <c r="AE287" t="e">
        <f>AVERAGE(Table1[[#This Row],[Runs Conceded]]/Table1[[#This Row],[Wickets Taken]])</f>
        <v>#VALUE!</v>
      </c>
    </row>
    <row r="288" spans="1:31" x14ac:dyDescent="0.3">
      <c r="A288" t="s">
        <v>250</v>
      </c>
      <c r="B288" t="s">
        <v>40</v>
      </c>
      <c r="C288" t="s">
        <v>30</v>
      </c>
      <c r="D288">
        <v>12</v>
      </c>
      <c r="E288">
        <v>10</v>
      </c>
      <c r="F288">
        <v>2</v>
      </c>
      <c r="G288">
        <v>144</v>
      </c>
      <c r="H288">
        <v>35</v>
      </c>
      <c r="I288">
        <v>18</v>
      </c>
      <c r="J288">
        <v>111</v>
      </c>
      <c r="K288">
        <v>129.72</v>
      </c>
      <c r="L288">
        <v>0</v>
      </c>
      <c r="M288">
        <v>0</v>
      </c>
      <c r="N288">
        <v>0</v>
      </c>
      <c r="O288">
        <v>10</v>
      </c>
      <c r="P288">
        <v>7</v>
      </c>
      <c r="Q288">
        <v>12</v>
      </c>
      <c r="R288">
        <v>32.1</v>
      </c>
      <c r="S288">
        <v>0</v>
      </c>
      <c r="T288">
        <v>197</v>
      </c>
      <c r="U288">
        <v>16</v>
      </c>
      <c r="V288" s="2">
        <v>44107</v>
      </c>
      <c r="W288">
        <v>12.31</v>
      </c>
      <c r="X288">
        <v>6.12</v>
      </c>
      <c r="Y288">
        <v>12</v>
      </c>
      <c r="Z288">
        <v>0</v>
      </c>
      <c r="AA288">
        <v>0</v>
      </c>
      <c r="AB288">
        <v>3</v>
      </c>
      <c r="AC288">
        <v>0</v>
      </c>
      <c r="AD288">
        <f t="shared" ca="1" si="4"/>
        <v>12</v>
      </c>
      <c r="AE288">
        <f>AVERAGE(Table1[[#This Row],[Runs Conceded]]/Table1[[#This Row],[Wickets Taken]])</f>
        <v>12.3125</v>
      </c>
    </row>
    <row r="289" spans="1:31" x14ac:dyDescent="0.3">
      <c r="A289" t="s">
        <v>250</v>
      </c>
      <c r="B289" t="s">
        <v>40</v>
      </c>
      <c r="C289" t="s">
        <v>32</v>
      </c>
      <c r="D289">
        <v>2</v>
      </c>
      <c r="E289">
        <v>2</v>
      </c>
      <c r="F289">
        <v>0</v>
      </c>
      <c r="G289">
        <v>3</v>
      </c>
      <c r="H289">
        <v>3</v>
      </c>
      <c r="I289">
        <v>1.5</v>
      </c>
      <c r="J289">
        <v>5</v>
      </c>
      <c r="K289">
        <v>60</v>
      </c>
      <c r="L289">
        <v>0</v>
      </c>
      <c r="M289">
        <v>0</v>
      </c>
      <c r="N289">
        <v>1</v>
      </c>
      <c r="O289">
        <v>0</v>
      </c>
      <c r="P289">
        <v>0</v>
      </c>
      <c r="Q289">
        <v>2</v>
      </c>
      <c r="R289">
        <v>4</v>
      </c>
      <c r="S289">
        <v>0</v>
      </c>
      <c r="T289">
        <v>49</v>
      </c>
      <c r="U289">
        <v>1</v>
      </c>
      <c r="V289" s="1">
        <v>13150</v>
      </c>
      <c r="W289">
        <v>49</v>
      </c>
      <c r="X289">
        <v>12.25</v>
      </c>
      <c r="Y289">
        <v>24</v>
      </c>
      <c r="Z289">
        <v>0</v>
      </c>
      <c r="AA289">
        <v>0</v>
      </c>
      <c r="AB289">
        <v>0</v>
      </c>
      <c r="AC289">
        <v>0</v>
      </c>
      <c r="AD289">
        <f t="shared" ca="1" si="4"/>
        <v>11</v>
      </c>
      <c r="AE289">
        <f>AVERAGE(Table1[[#This Row],[Runs Conceded]]/Table1[[#This Row],[Wickets Taken]])</f>
        <v>49</v>
      </c>
    </row>
    <row r="290" spans="1:31" x14ac:dyDescent="0.3">
      <c r="A290" t="s">
        <v>250</v>
      </c>
      <c r="B290" t="s">
        <v>40</v>
      </c>
      <c r="C290" t="s">
        <v>92</v>
      </c>
      <c r="D290">
        <v>7</v>
      </c>
      <c r="E290">
        <v>4</v>
      </c>
      <c r="F290">
        <v>0</v>
      </c>
      <c r="G290">
        <v>9</v>
      </c>
      <c r="H290">
        <v>5</v>
      </c>
      <c r="I290">
        <v>2.25</v>
      </c>
      <c r="J290">
        <v>12</v>
      </c>
      <c r="K290">
        <v>75</v>
      </c>
      <c r="L290">
        <v>0</v>
      </c>
      <c r="M290">
        <v>0</v>
      </c>
      <c r="N290">
        <v>2</v>
      </c>
      <c r="O290">
        <v>1</v>
      </c>
      <c r="P290">
        <v>0</v>
      </c>
      <c r="Q290">
        <v>4</v>
      </c>
      <c r="R290">
        <v>11.1</v>
      </c>
      <c r="S290">
        <v>0</v>
      </c>
      <c r="T290">
        <v>102</v>
      </c>
      <c r="U290">
        <v>3</v>
      </c>
      <c r="V290" s="1">
        <v>44228</v>
      </c>
      <c r="W290">
        <v>34</v>
      </c>
      <c r="X290">
        <v>9.1300000000000008</v>
      </c>
      <c r="Y290">
        <v>22.3</v>
      </c>
      <c r="Z290">
        <v>0</v>
      </c>
      <c r="AA290">
        <v>0</v>
      </c>
      <c r="AB290">
        <v>3</v>
      </c>
      <c r="AC290">
        <v>0</v>
      </c>
      <c r="AD290">
        <f t="shared" ca="1" si="4"/>
        <v>13</v>
      </c>
      <c r="AE290">
        <f>AVERAGE(Table1[[#This Row],[Runs Conceded]]/Table1[[#This Row],[Wickets Taken]])</f>
        <v>34</v>
      </c>
    </row>
    <row r="291" spans="1:31" x14ac:dyDescent="0.3">
      <c r="A291" t="s">
        <v>250</v>
      </c>
      <c r="B291" t="s">
        <v>93</v>
      </c>
      <c r="C291" t="s">
        <v>92</v>
      </c>
      <c r="D291">
        <v>10</v>
      </c>
      <c r="E291">
        <v>10</v>
      </c>
      <c r="F291">
        <v>6</v>
      </c>
      <c r="G291">
        <v>211</v>
      </c>
      <c r="H291" t="s">
        <v>86</v>
      </c>
      <c r="I291">
        <v>52.75</v>
      </c>
      <c r="J291">
        <v>156</v>
      </c>
      <c r="K291">
        <v>135.25</v>
      </c>
      <c r="L291">
        <v>0</v>
      </c>
      <c r="M291">
        <v>0</v>
      </c>
      <c r="N291">
        <v>2</v>
      </c>
      <c r="O291">
        <v>14</v>
      </c>
      <c r="P291">
        <v>10</v>
      </c>
      <c r="Q291">
        <v>6</v>
      </c>
      <c r="R291">
        <v>16.399999999999999</v>
      </c>
      <c r="S291">
        <v>0</v>
      </c>
      <c r="T291">
        <v>145</v>
      </c>
      <c r="U291">
        <v>2</v>
      </c>
      <c r="V291" s="1">
        <v>41275</v>
      </c>
      <c r="W291">
        <v>72.5</v>
      </c>
      <c r="X291">
        <v>8.6999999999999993</v>
      </c>
      <c r="Y291">
        <v>50</v>
      </c>
      <c r="Z291">
        <v>0</v>
      </c>
      <c r="AA291">
        <v>0</v>
      </c>
      <c r="AB291">
        <v>2</v>
      </c>
      <c r="AC291">
        <v>0</v>
      </c>
      <c r="AD291">
        <f t="shared" ca="1" si="4"/>
        <v>7</v>
      </c>
      <c r="AE291">
        <f>AVERAGE(Table1[[#This Row],[Runs Conceded]]/Table1[[#This Row],[Wickets Taken]])</f>
        <v>72.5</v>
      </c>
    </row>
    <row r="292" spans="1:31" x14ac:dyDescent="0.3">
      <c r="A292" t="s">
        <v>250</v>
      </c>
      <c r="B292" t="s">
        <v>101</v>
      </c>
      <c r="C292" t="s">
        <v>32</v>
      </c>
      <c r="D292">
        <v>4</v>
      </c>
      <c r="E292">
        <v>4</v>
      </c>
      <c r="F292">
        <v>0</v>
      </c>
      <c r="G292">
        <v>55</v>
      </c>
      <c r="H292">
        <v>45</v>
      </c>
      <c r="I292">
        <v>13.75</v>
      </c>
      <c r="J292">
        <v>47</v>
      </c>
      <c r="K292">
        <v>117.02</v>
      </c>
      <c r="L292">
        <v>0</v>
      </c>
      <c r="M292">
        <v>0</v>
      </c>
      <c r="N292">
        <v>1</v>
      </c>
      <c r="O292">
        <v>2</v>
      </c>
      <c r="P292">
        <v>4</v>
      </c>
      <c r="Q292" t="s">
        <v>37</v>
      </c>
      <c r="R292" t="s">
        <v>37</v>
      </c>
      <c r="S292" t="s">
        <v>37</v>
      </c>
      <c r="T292" t="s">
        <v>37</v>
      </c>
      <c r="U292" t="s">
        <v>37</v>
      </c>
      <c r="V292" t="s">
        <v>37</v>
      </c>
      <c r="W292" t="s">
        <v>37</v>
      </c>
      <c r="X292" t="s">
        <v>37</v>
      </c>
      <c r="Y292" t="s">
        <v>37</v>
      </c>
      <c r="Z292" t="s">
        <v>37</v>
      </c>
      <c r="AA292" t="s">
        <v>37</v>
      </c>
      <c r="AB292">
        <v>0</v>
      </c>
      <c r="AC292">
        <v>0</v>
      </c>
      <c r="AD292">
        <f t="shared" ca="1" si="4"/>
        <v>10</v>
      </c>
      <c r="AE292" t="e">
        <f>AVERAGE(Table1[[#This Row],[Runs Conceded]]/Table1[[#This Row],[Wickets Taken]])</f>
        <v>#VALUE!</v>
      </c>
    </row>
    <row r="293" spans="1:31" x14ac:dyDescent="0.3">
      <c r="A293" t="s">
        <v>250</v>
      </c>
      <c r="B293" t="s">
        <v>102</v>
      </c>
      <c r="C293" t="s">
        <v>92</v>
      </c>
      <c r="D293">
        <v>3</v>
      </c>
      <c r="E293">
        <v>3</v>
      </c>
      <c r="F293">
        <v>0</v>
      </c>
      <c r="G293">
        <v>98</v>
      </c>
      <c r="H293">
        <v>65</v>
      </c>
      <c r="I293">
        <v>32.659999999999997</v>
      </c>
      <c r="J293">
        <v>70</v>
      </c>
      <c r="K293">
        <v>140</v>
      </c>
      <c r="L293">
        <v>0</v>
      </c>
      <c r="M293">
        <v>1</v>
      </c>
      <c r="N293">
        <v>0</v>
      </c>
      <c r="O293">
        <v>11</v>
      </c>
      <c r="P293">
        <v>2</v>
      </c>
      <c r="Q293" t="s">
        <v>37</v>
      </c>
      <c r="R293" t="s">
        <v>37</v>
      </c>
      <c r="S293" t="s">
        <v>37</v>
      </c>
      <c r="T293" t="s">
        <v>37</v>
      </c>
      <c r="U293" t="s">
        <v>37</v>
      </c>
      <c r="V293" t="s">
        <v>37</v>
      </c>
      <c r="W293" t="s">
        <v>37</v>
      </c>
      <c r="X293" t="s">
        <v>37</v>
      </c>
      <c r="Y293" t="s">
        <v>37</v>
      </c>
      <c r="Z293" t="s">
        <v>37</v>
      </c>
      <c r="AA293" t="s">
        <v>37</v>
      </c>
      <c r="AB293">
        <v>1</v>
      </c>
      <c r="AC293">
        <v>0</v>
      </c>
      <c r="AD293">
        <f t="shared" ca="1" si="4"/>
        <v>15</v>
      </c>
      <c r="AE293" t="e">
        <f>AVERAGE(Table1[[#This Row],[Runs Conceded]]/Table1[[#This Row],[Wickets Taken]])</f>
        <v>#VALUE!</v>
      </c>
    </row>
    <row r="294" spans="1:31" x14ac:dyDescent="0.3">
      <c r="A294" t="s">
        <v>250</v>
      </c>
      <c r="B294" t="s">
        <v>180</v>
      </c>
      <c r="C294" t="s">
        <v>32</v>
      </c>
      <c r="D294">
        <v>14</v>
      </c>
      <c r="E294">
        <v>5</v>
      </c>
      <c r="F294">
        <v>1</v>
      </c>
      <c r="G294">
        <v>3</v>
      </c>
      <c r="H294" t="s">
        <v>55</v>
      </c>
      <c r="I294">
        <v>0.75</v>
      </c>
      <c r="J294">
        <v>11</v>
      </c>
      <c r="K294">
        <v>27.27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14</v>
      </c>
      <c r="R294">
        <v>53.1</v>
      </c>
      <c r="S294">
        <v>1</v>
      </c>
      <c r="T294">
        <v>418</v>
      </c>
      <c r="U294">
        <v>20</v>
      </c>
      <c r="V294" s="1">
        <v>44986</v>
      </c>
      <c r="W294">
        <v>20.9</v>
      </c>
      <c r="X294">
        <v>7.86</v>
      </c>
      <c r="Y294">
        <v>15.9</v>
      </c>
      <c r="Z294">
        <v>0</v>
      </c>
      <c r="AA294">
        <v>0</v>
      </c>
      <c r="AB294">
        <v>2</v>
      </c>
      <c r="AC294">
        <v>0</v>
      </c>
      <c r="AD294">
        <f t="shared" ca="1" si="4"/>
        <v>3</v>
      </c>
      <c r="AE294">
        <f>AVERAGE(Table1[[#This Row],[Runs Conceded]]/Table1[[#This Row],[Wickets Taken]])</f>
        <v>20.9</v>
      </c>
    </row>
    <row r="295" spans="1:31" x14ac:dyDescent="0.3">
      <c r="A295" t="s">
        <v>250</v>
      </c>
      <c r="B295" t="s">
        <v>180</v>
      </c>
      <c r="C295" t="s">
        <v>92</v>
      </c>
      <c r="D295">
        <v>11</v>
      </c>
      <c r="E295">
        <v>7</v>
      </c>
      <c r="F295">
        <v>5</v>
      </c>
      <c r="G295">
        <v>25</v>
      </c>
      <c r="H295">
        <v>14</v>
      </c>
      <c r="I295">
        <v>12.5</v>
      </c>
      <c r="J295">
        <v>25</v>
      </c>
      <c r="K295">
        <v>100</v>
      </c>
      <c r="L295">
        <v>0</v>
      </c>
      <c r="M295">
        <v>0</v>
      </c>
      <c r="N295">
        <v>0</v>
      </c>
      <c r="O295">
        <v>3</v>
      </c>
      <c r="P295">
        <v>1</v>
      </c>
      <c r="Q295">
        <v>11</v>
      </c>
      <c r="R295">
        <v>37.5</v>
      </c>
      <c r="S295">
        <v>0</v>
      </c>
      <c r="T295">
        <v>371</v>
      </c>
      <c r="U295">
        <v>8</v>
      </c>
      <c r="V295" s="1">
        <v>13210</v>
      </c>
      <c r="W295">
        <v>46.37</v>
      </c>
      <c r="X295">
        <v>9.8000000000000007</v>
      </c>
      <c r="Y295">
        <v>28.3</v>
      </c>
      <c r="Z295">
        <v>0</v>
      </c>
      <c r="AA295">
        <v>0</v>
      </c>
      <c r="AB295">
        <v>4</v>
      </c>
      <c r="AC295">
        <v>0</v>
      </c>
      <c r="AD295">
        <f t="shared" ca="1" si="4"/>
        <v>9</v>
      </c>
      <c r="AE295">
        <f>AVERAGE(Table1[[#This Row],[Runs Conceded]]/Table1[[#This Row],[Wickets Taken]])</f>
        <v>46.375</v>
      </c>
    </row>
    <row r="296" spans="1:31" x14ac:dyDescent="0.3">
      <c r="A296" t="s">
        <v>250</v>
      </c>
      <c r="B296" t="s">
        <v>222</v>
      </c>
      <c r="C296" t="s">
        <v>32</v>
      </c>
      <c r="D296">
        <v>6</v>
      </c>
      <c r="E296">
        <v>6</v>
      </c>
      <c r="F296">
        <v>1</v>
      </c>
      <c r="G296">
        <v>153</v>
      </c>
      <c r="H296">
        <v>53</v>
      </c>
      <c r="I296">
        <v>30.6</v>
      </c>
      <c r="J296">
        <v>109</v>
      </c>
      <c r="K296">
        <v>140.36000000000001</v>
      </c>
      <c r="L296">
        <v>0</v>
      </c>
      <c r="M296">
        <v>1</v>
      </c>
      <c r="N296">
        <v>0</v>
      </c>
      <c r="O296">
        <v>20</v>
      </c>
      <c r="P296">
        <v>4</v>
      </c>
      <c r="Q296" t="s">
        <v>37</v>
      </c>
      <c r="R296" t="s">
        <v>37</v>
      </c>
      <c r="S296" t="s">
        <v>37</v>
      </c>
      <c r="T296" t="s">
        <v>37</v>
      </c>
      <c r="U296" t="s">
        <v>37</v>
      </c>
      <c r="V296" t="s">
        <v>37</v>
      </c>
      <c r="W296" t="s">
        <v>37</v>
      </c>
      <c r="X296" t="s">
        <v>37</v>
      </c>
      <c r="Y296" t="s">
        <v>37</v>
      </c>
      <c r="Z296" t="s">
        <v>37</v>
      </c>
      <c r="AA296" t="s">
        <v>37</v>
      </c>
      <c r="AB296">
        <v>3</v>
      </c>
      <c r="AC296">
        <v>0</v>
      </c>
      <c r="AD296">
        <f t="shared" ca="1" si="4"/>
        <v>18</v>
      </c>
      <c r="AE296" t="e">
        <f>AVERAGE(Table1[[#This Row],[Runs Conceded]]/Table1[[#This Row],[Wickets Taken]])</f>
        <v>#VALUE!</v>
      </c>
    </row>
    <row r="297" spans="1:31" x14ac:dyDescent="0.3">
      <c r="A297" t="s">
        <v>250</v>
      </c>
      <c r="B297" t="s">
        <v>222</v>
      </c>
      <c r="C297" t="s">
        <v>92</v>
      </c>
      <c r="D297">
        <v>14</v>
      </c>
      <c r="E297">
        <v>14</v>
      </c>
      <c r="F297">
        <v>0</v>
      </c>
      <c r="G297">
        <v>373</v>
      </c>
      <c r="H297">
        <v>67</v>
      </c>
      <c r="I297">
        <v>26.64</v>
      </c>
      <c r="J297">
        <v>268</v>
      </c>
      <c r="K297">
        <v>139.16999999999999</v>
      </c>
      <c r="L297">
        <v>0</v>
      </c>
      <c r="M297">
        <v>2</v>
      </c>
      <c r="N297">
        <v>1</v>
      </c>
      <c r="O297">
        <v>48</v>
      </c>
      <c r="P297">
        <v>10</v>
      </c>
      <c r="Q297" t="s">
        <v>37</v>
      </c>
      <c r="R297" t="s">
        <v>37</v>
      </c>
      <c r="S297" t="s">
        <v>37</v>
      </c>
      <c r="T297" t="s">
        <v>37</v>
      </c>
      <c r="U297" t="s">
        <v>37</v>
      </c>
      <c r="V297" t="s">
        <v>37</v>
      </c>
      <c r="W297" t="s">
        <v>37</v>
      </c>
      <c r="X297" t="s">
        <v>37</v>
      </c>
      <c r="Y297" t="s">
        <v>37</v>
      </c>
      <c r="Z297" t="s">
        <v>37</v>
      </c>
      <c r="AA297" t="s">
        <v>37</v>
      </c>
      <c r="AB297">
        <v>6</v>
      </c>
      <c r="AC297">
        <v>2</v>
      </c>
      <c r="AD297">
        <f t="shared" ca="1" si="4"/>
        <v>3</v>
      </c>
      <c r="AE297" t="e">
        <f>AVERAGE(Table1[[#This Row],[Runs Conceded]]/Table1[[#This Row],[Wickets Taken]])</f>
        <v>#VALUE!</v>
      </c>
    </row>
    <row r="298" spans="1:31" x14ac:dyDescent="0.3">
      <c r="A298" t="s">
        <v>250</v>
      </c>
      <c r="B298" t="s">
        <v>224</v>
      </c>
      <c r="C298" t="s">
        <v>32</v>
      </c>
      <c r="D298">
        <v>8</v>
      </c>
      <c r="E298">
        <v>4</v>
      </c>
      <c r="F298">
        <v>2</v>
      </c>
      <c r="G298">
        <v>52</v>
      </c>
      <c r="H298" t="s">
        <v>66</v>
      </c>
      <c r="I298">
        <v>26</v>
      </c>
      <c r="J298">
        <v>46</v>
      </c>
      <c r="K298">
        <v>113.04</v>
      </c>
      <c r="L298">
        <v>0</v>
      </c>
      <c r="M298">
        <v>0</v>
      </c>
      <c r="N298">
        <v>0</v>
      </c>
      <c r="O298">
        <v>5</v>
      </c>
      <c r="P298">
        <v>1</v>
      </c>
      <c r="Q298">
        <v>8</v>
      </c>
      <c r="R298">
        <v>29</v>
      </c>
      <c r="S298">
        <v>0</v>
      </c>
      <c r="T298">
        <v>261</v>
      </c>
      <c r="U298">
        <v>5</v>
      </c>
      <c r="V298" s="1">
        <v>11018</v>
      </c>
      <c r="W298">
        <v>52.2</v>
      </c>
      <c r="X298">
        <v>9</v>
      </c>
      <c r="Y298">
        <v>34.799999999999997</v>
      </c>
      <c r="Z298">
        <v>0</v>
      </c>
      <c r="AA298">
        <v>0</v>
      </c>
      <c r="AB298">
        <v>3</v>
      </c>
      <c r="AC298">
        <v>0</v>
      </c>
      <c r="AD298">
        <f t="shared" ca="1" si="4"/>
        <v>16</v>
      </c>
      <c r="AE298">
        <f>AVERAGE(Table1[[#This Row],[Runs Conceded]]/Table1[[#This Row],[Wickets Taken]])</f>
        <v>52.2</v>
      </c>
    </row>
    <row r="299" spans="1:31" x14ac:dyDescent="0.3">
      <c r="A299" t="s">
        <v>250</v>
      </c>
      <c r="B299" t="s">
        <v>224</v>
      </c>
      <c r="C299" t="s">
        <v>92</v>
      </c>
      <c r="D299">
        <v>3</v>
      </c>
      <c r="E299">
        <v>1</v>
      </c>
      <c r="F299">
        <v>1</v>
      </c>
      <c r="G299">
        <v>9</v>
      </c>
      <c r="H299" t="s">
        <v>115</v>
      </c>
      <c r="I299" t="s">
        <v>37</v>
      </c>
      <c r="J299">
        <v>9</v>
      </c>
      <c r="K299">
        <v>100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</v>
      </c>
      <c r="R299">
        <v>9</v>
      </c>
      <c r="S299">
        <v>0</v>
      </c>
      <c r="T299">
        <v>118</v>
      </c>
      <c r="U299">
        <v>1</v>
      </c>
      <c r="V299" s="1">
        <v>45292</v>
      </c>
      <c r="W299">
        <v>118</v>
      </c>
      <c r="X299">
        <v>13.11</v>
      </c>
      <c r="Y299">
        <v>54</v>
      </c>
      <c r="Z299">
        <v>0</v>
      </c>
      <c r="AA299">
        <v>0</v>
      </c>
      <c r="AB299">
        <v>3</v>
      </c>
      <c r="AC299">
        <v>0</v>
      </c>
      <c r="AD299">
        <f t="shared" ca="1" si="4"/>
        <v>3</v>
      </c>
      <c r="AE299">
        <f>AVERAGE(Table1[[#This Row],[Runs Conceded]]/Table1[[#This Row],[Wickets Taken]])</f>
        <v>118</v>
      </c>
    </row>
    <row r="300" spans="1:31" x14ac:dyDescent="0.3">
      <c r="A300" t="s">
        <v>250</v>
      </c>
      <c r="B300" t="s">
        <v>251</v>
      </c>
      <c r="C300" t="s">
        <v>28</v>
      </c>
      <c r="D300">
        <v>16</v>
      </c>
      <c r="E300">
        <v>16</v>
      </c>
      <c r="F300">
        <v>4</v>
      </c>
      <c r="G300">
        <v>973</v>
      </c>
      <c r="H300">
        <v>113</v>
      </c>
      <c r="I300">
        <v>81.08</v>
      </c>
      <c r="J300">
        <v>640</v>
      </c>
      <c r="K300">
        <v>152.03</v>
      </c>
      <c r="L300">
        <v>4</v>
      </c>
      <c r="M300">
        <v>7</v>
      </c>
      <c r="N300">
        <v>1</v>
      </c>
      <c r="O300">
        <v>83</v>
      </c>
      <c r="P300">
        <v>38</v>
      </c>
      <c r="Q300">
        <v>1</v>
      </c>
      <c r="R300">
        <v>1</v>
      </c>
      <c r="S300">
        <v>0</v>
      </c>
      <c r="T300">
        <v>13</v>
      </c>
      <c r="U300">
        <v>0</v>
      </c>
      <c r="V300" t="s">
        <v>37</v>
      </c>
      <c r="W300" t="s">
        <v>37</v>
      </c>
      <c r="X300">
        <v>13</v>
      </c>
      <c r="Y300" t="s">
        <v>37</v>
      </c>
      <c r="Z300">
        <v>0</v>
      </c>
      <c r="AA300">
        <v>0</v>
      </c>
      <c r="AB300">
        <v>6</v>
      </c>
      <c r="AC300">
        <v>0</v>
      </c>
      <c r="AD300">
        <f t="shared" ca="1" si="4"/>
        <v>10</v>
      </c>
      <c r="AE300" t="e">
        <f>AVERAGE(Table1[[#This Row],[Runs Conceded]]/Table1[[#This Row],[Wickets Taken]])</f>
        <v>#DIV/0!</v>
      </c>
    </row>
    <row r="301" spans="1:31" x14ac:dyDescent="0.3">
      <c r="A301" t="s">
        <v>250</v>
      </c>
      <c r="B301" t="s">
        <v>251</v>
      </c>
      <c r="C301" t="s">
        <v>30</v>
      </c>
      <c r="D301">
        <v>10</v>
      </c>
      <c r="E301">
        <v>10</v>
      </c>
      <c r="F301">
        <v>0</v>
      </c>
      <c r="G301">
        <v>308</v>
      </c>
      <c r="H301">
        <v>64</v>
      </c>
      <c r="I301">
        <v>30.8</v>
      </c>
      <c r="J301">
        <v>252</v>
      </c>
      <c r="K301">
        <v>122.22</v>
      </c>
      <c r="L301">
        <v>0</v>
      </c>
      <c r="M301">
        <v>4</v>
      </c>
      <c r="N301">
        <v>1</v>
      </c>
      <c r="O301">
        <v>23</v>
      </c>
      <c r="P301">
        <v>11</v>
      </c>
      <c r="Q301" t="s">
        <v>37</v>
      </c>
      <c r="R301" t="s">
        <v>37</v>
      </c>
      <c r="S301" t="s">
        <v>37</v>
      </c>
      <c r="T301" t="s">
        <v>37</v>
      </c>
      <c r="U301" t="s">
        <v>37</v>
      </c>
      <c r="V301" t="s">
        <v>37</v>
      </c>
      <c r="W301" t="s">
        <v>37</v>
      </c>
      <c r="X301" t="s">
        <v>37</v>
      </c>
      <c r="Y301" t="s">
        <v>37</v>
      </c>
      <c r="Z301" t="s">
        <v>37</v>
      </c>
      <c r="AA301" t="s">
        <v>37</v>
      </c>
      <c r="AB301">
        <v>5</v>
      </c>
      <c r="AC301">
        <v>0</v>
      </c>
      <c r="AD301">
        <f t="shared" ca="1" si="4"/>
        <v>8</v>
      </c>
      <c r="AE301" t="e">
        <f>AVERAGE(Table1[[#This Row],[Runs Conceded]]/Table1[[#This Row],[Wickets Taken]])</f>
        <v>#VALUE!</v>
      </c>
    </row>
    <row r="302" spans="1:31" x14ac:dyDescent="0.3">
      <c r="A302" t="s">
        <v>250</v>
      </c>
      <c r="B302" t="s">
        <v>251</v>
      </c>
      <c r="C302" t="s">
        <v>32</v>
      </c>
      <c r="D302">
        <v>14</v>
      </c>
      <c r="E302">
        <v>14</v>
      </c>
      <c r="F302">
        <v>3</v>
      </c>
      <c r="G302">
        <v>530</v>
      </c>
      <c r="H302" t="s">
        <v>252</v>
      </c>
      <c r="I302">
        <v>48.18</v>
      </c>
      <c r="J302">
        <v>381</v>
      </c>
      <c r="K302">
        <v>139.1</v>
      </c>
      <c r="L302">
        <v>0</v>
      </c>
      <c r="M302">
        <v>4</v>
      </c>
      <c r="N302">
        <v>0</v>
      </c>
      <c r="O302">
        <v>52</v>
      </c>
      <c r="P302">
        <v>18</v>
      </c>
      <c r="Q302" t="s">
        <v>37</v>
      </c>
      <c r="R302" t="s">
        <v>37</v>
      </c>
      <c r="S302" t="s">
        <v>37</v>
      </c>
      <c r="T302" t="s">
        <v>37</v>
      </c>
      <c r="U302" t="s">
        <v>37</v>
      </c>
      <c r="V302" t="s">
        <v>37</v>
      </c>
      <c r="W302" t="s">
        <v>37</v>
      </c>
      <c r="X302" t="s">
        <v>37</v>
      </c>
      <c r="Y302" t="s">
        <v>37</v>
      </c>
      <c r="Z302" t="s">
        <v>37</v>
      </c>
      <c r="AA302" t="s">
        <v>37</v>
      </c>
      <c r="AB302">
        <v>8</v>
      </c>
      <c r="AC302">
        <v>0</v>
      </c>
      <c r="AD302">
        <f t="shared" ca="1" si="4"/>
        <v>6</v>
      </c>
      <c r="AE302" t="e">
        <f>AVERAGE(Table1[[#This Row],[Runs Conceded]]/Table1[[#This Row],[Wickets Taken]])</f>
        <v>#VALUE!</v>
      </c>
    </row>
    <row r="303" spans="1:31" x14ac:dyDescent="0.3">
      <c r="A303" t="s">
        <v>250</v>
      </c>
      <c r="B303" t="s">
        <v>251</v>
      </c>
      <c r="C303" t="s">
        <v>92</v>
      </c>
      <c r="D303">
        <v>14</v>
      </c>
      <c r="E303">
        <v>14</v>
      </c>
      <c r="F303">
        <v>0</v>
      </c>
      <c r="G303">
        <v>464</v>
      </c>
      <c r="H303">
        <v>100</v>
      </c>
      <c r="I303">
        <v>33.14</v>
      </c>
      <c r="J303">
        <v>328</v>
      </c>
      <c r="K303">
        <v>141.46</v>
      </c>
      <c r="L303">
        <v>1</v>
      </c>
      <c r="M303">
        <v>2</v>
      </c>
      <c r="N303">
        <v>0</v>
      </c>
      <c r="O303">
        <v>46</v>
      </c>
      <c r="P303">
        <v>13</v>
      </c>
      <c r="Q303" t="s">
        <v>37</v>
      </c>
      <c r="R303" t="s">
        <v>37</v>
      </c>
      <c r="S303" t="s">
        <v>37</v>
      </c>
      <c r="T303" t="s">
        <v>37</v>
      </c>
      <c r="U303" t="s">
        <v>37</v>
      </c>
      <c r="V303" t="s">
        <v>37</v>
      </c>
      <c r="W303" t="s">
        <v>37</v>
      </c>
      <c r="X303" t="s">
        <v>37</v>
      </c>
      <c r="Y303" t="s">
        <v>37</v>
      </c>
      <c r="Z303" t="s">
        <v>37</v>
      </c>
      <c r="AA303" t="s">
        <v>37</v>
      </c>
      <c r="AB303">
        <v>5</v>
      </c>
      <c r="AC303">
        <v>0</v>
      </c>
      <c r="AD303">
        <f t="shared" ca="1" si="4"/>
        <v>17</v>
      </c>
      <c r="AE303" t="e">
        <f>AVERAGE(Table1[[#This Row],[Runs Conceded]]/Table1[[#This Row],[Wickets Taken]])</f>
        <v>#VALUE!</v>
      </c>
    </row>
    <row r="304" spans="1:31" x14ac:dyDescent="0.3">
      <c r="A304" t="s">
        <v>250</v>
      </c>
      <c r="B304" t="s">
        <v>253</v>
      </c>
      <c r="C304" t="s">
        <v>28</v>
      </c>
      <c r="D304">
        <v>16</v>
      </c>
      <c r="E304">
        <v>16</v>
      </c>
      <c r="F304">
        <v>3</v>
      </c>
      <c r="G304">
        <v>687</v>
      </c>
      <c r="H304" t="s">
        <v>254</v>
      </c>
      <c r="I304">
        <v>52.84</v>
      </c>
      <c r="J304">
        <v>407</v>
      </c>
      <c r="K304">
        <v>168.79</v>
      </c>
      <c r="L304">
        <v>1</v>
      </c>
      <c r="M304">
        <v>6</v>
      </c>
      <c r="N304">
        <v>1</v>
      </c>
      <c r="O304">
        <v>57</v>
      </c>
      <c r="P304">
        <v>37</v>
      </c>
      <c r="Q304" t="s">
        <v>37</v>
      </c>
      <c r="R304" t="s">
        <v>37</v>
      </c>
      <c r="S304" t="s">
        <v>37</v>
      </c>
      <c r="T304" t="s">
        <v>37</v>
      </c>
      <c r="U304" t="s">
        <v>37</v>
      </c>
      <c r="V304" t="s">
        <v>37</v>
      </c>
      <c r="W304" t="s">
        <v>37</v>
      </c>
      <c r="X304" t="s">
        <v>37</v>
      </c>
      <c r="Y304" t="s">
        <v>37</v>
      </c>
      <c r="Z304" t="s">
        <v>37</v>
      </c>
      <c r="AA304" t="s">
        <v>37</v>
      </c>
      <c r="AB304">
        <v>19</v>
      </c>
      <c r="AC304">
        <v>0</v>
      </c>
      <c r="AD304">
        <f t="shared" ca="1" si="4"/>
        <v>12</v>
      </c>
      <c r="AE304" t="e">
        <f>AVERAGE(Table1[[#This Row],[Runs Conceded]]/Table1[[#This Row],[Wickets Taken]])</f>
        <v>#VALUE!</v>
      </c>
    </row>
    <row r="305" spans="1:31" x14ac:dyDescent="0.3">
      <c r="A305" t="s">
        <v>250</v>
      </c>
      <c r="B305" t="s">
        <v>253</v>
      </c>
      <c r="C305" t="s">
        <v>30</v>
      </c>
      <c r="D305">
        <v>9</v>
      </c>
      <c r="E305">
        <v>9</v>
      </c>
      <c r="F305">
        <v>1</v>
      </c>
      <c r="G305">
        <v>216</v>
      </c>
      <c r="H305" t="s">
        <v>255</v>
      </c>
      <c r="I305">
        <v>27</v>
      </c>
      <c r="J305">
        <v>163</v>
      </c>
      <c r="K305">
        <v>132.51</v>
      </c>
      <c r="L305">
        <v>0</v>
      </c>
      <c r="M305">
        <v>1</v>
      </c>
      <c r="N305">
        <v>0</v>
      </c>
      <c r="O305">
        <v>12</v>
      </c>
      <c r="P305">
        <v>16</v>
      </c>
      <c r="Q305" t="s">
        <v>37</v>
      </c>
      <c r="R305" t="s">
        <v>37</v>
      </c>
      <c r="S305" t="s">
        <v>37</v>
      </c>
      <c r="T305" t="s">
        <v>37</v>
      </c>
      <c r="U305" t="s">
        <v>37</v>
      </c>
      <c r="V305" t="s">
        <v>37</v>
      </c>
      <c r="W305" t="s">
        <v>37</v>
      </c>
      <c r="X305" t="s">
        <v>37</v>
      </c>
      <c r="Y305" t="s">
        <v>37</v>
      </c>
      <c r="Z305" t="s">
        <v>37</v>
      </c>
      <c r="AA305" t="s">
        <v>37</v>
      </c>
      <c r="AB305">
        <v>6</v>
      </c>
      <c r="AC305">
        <v>0</v>
      </c>
      <c r="AD305">
        <f t="shared" ca="1" si="4"/>
        <v>11</v>
      </c>
      <c r="AE305" t="e">
        <f>AVERAGE(Table1[[#This Row],[Runs Conceded]]/Table1[[#This Row],[Wickets Taken]])</f>
        <v>#VALUE!</v>
      </c>
    </row>
    <row r="306" spans="1:31" x14ac:dyDescent="0.3">
      <c r="A306" t="s">
        <v>250</v>
      </c>
      <c r="B306" t="s">
        <v>253</v>
      </c>
      <c r="C306" t="s">
        <v>32</v>
      </c>
      <c r="D306">
        <v>12</v>
      </c>
      <c r="E306">
        <v>11</v>
      </c>
      <c r="F306">
        <v>2</v>
      </c>
      <c r="G306">
        <v>480</v>
      </c>
      <c r="H306" t="s">
        <v>164</v>
      </c>
      <c r="I306">
        <v>53.33</v>
      </c>
      <c r="J306">
        <v>275</v>
      </c>
      <c r="K306">
        <v>174.54</v>
      </c>
      <c r="L306">
        <v>0</v>
      </c>
      <c r="M306">
        <v>6</v>
      </c>
      <c r="N306">
        <v>0</v>
      </c>
      <c r="O306">
        <v>39</v>
      </c>
      <c r="P306">
        <v>30</v>
      </c>
      <c r="Q306" t="s">
        <v>37</v>
      </c>
      <c r="R306" t="s">
        <v>37</v>
      </c>
      <c r="S306" t="s">
        <v>37</v>
      </c>
      <c r="T306" t="s">
        <v>37</v>
      </c>
      <c r="U306" t="s">
        <v>37</v>
      </c>
      <c r="V306" t="s">
        <v>37</v>
      </c>
      <c r="W306" t="s">
        <v>37</v>
      </c>
      <c r="X306" t="s">
        <v>37</v>
      </c>
      <c r="Y306" t="s">
        <v>37</v>
      </c>
      <c r="Z306" t="s">
        <v>37</v>
      </c>
      <c r="AA306" t="s">
        <v>37</v>
      </c>
      <c r="AB306">
        <v>6</v>
      </c>
      <c r="AC306">
        <v>0</v>
      </c>
      <c r="AD306">
        <f t="shared" ca="1" si="4"/>
        <v>15</v>
      </c>
      <c r="AE306" t="e">
        <f>AVERAGE(Table1[[#This Row],[Runs Conceded]]/Table1[[#This Row],[Wickets Taken]])</f>
        <v>#VALUE!</v>
      </c>
    </row>
    <row r="307" spans="1:31" x14ac:dyDescent="0.3">
      <c r="A307" t="s">
        <v>250</v>
      </c>
      <c r="B307" t="s">
        <v>253</v>
      </c>
      <c r="C307" t="s">
        <v>92</v>
      </c>
      <c r="D307">
        <v>13</v>
      </c>
      <c r="E307">
        <v>13</v>
      </c>
      <c r="F307">
        <v>3</v>
      </c>
      <c r="G307">
        <v>442</v>
      </c>
      <c r="H307" t="s">
        <v>29</v>
      </c>
      <c r="I307">
        <v>44.2</v>
      </c>
      <c r="J307">
        <v>287</v>
      </c>
      <c r="K307">
        <v>154</v>
      </c>
      <c r="L307">
        <v>0</v>
      </c>
      <c r="M307">
        <v>5</v>
      </c>
      <c r="N307">
        <v>0</v>
      </c>
      <c r="O307">
        <v>31</v>
      </c>
      <c r="P307">
        <v>26</v>
      </c>
      <c r="Q307" t="s">
        <v>37</v>
      </c>
      <c r="R307" t="s">
        <v>37</v>
      </c>
      <c r="S307" t="s">
        <v>37</v>
      </c>
      <c r="T307" t="s">
        <v>37</v>
      </c>
      <c r="U307" t="s">
        <v>37</v>
      </c>
      <c r="V307" t="s">
        <v>37</v>
      </c>
      <c r="W307" t="s">
        <v>37</v>
      </c>
      <c r="X307" t="s">
        <v>37</v>
      </c>
      <c r="Y307" t="s">
        <v>37</v>
      </c>
      <c r="Z307" t="s">
        <v>37</v>
      </c>
      <c r="AA307" t="s">
        <v>37</v>
      </c>
      <c r="AB307">
        <v>6</v>
      </c>
      <c r="AC307">
        <v>0</v>
      </c>
      <c r="AD307">
        <f t="shared" ca="1" si="4"/>
        <v>5</v>
      </c>
      <c r="AE307" t="e">
        <f>AVERAGE(Table1[[#This Row],[Runs Conceded]]/Table1[[#This Row],[Wickets Taken]])</f>
        <v>#VALUE!</v>
      </c>
    </row>
    <row r="308" spans="1:31" x14ac:dyDescent="0.3">
      <c r="A308" t="s">
        <v>250</v>
      </c>
      <c r="B308" t="s">
        <v>126</v>
      </c>
      <c r="C308" t="s">
        <v>28</v>
      </c>
      <c r="D308">
        <v>14</v>
      </c>
      <c r="E308">
        <v>12</v>
      </c>
      <c r="F308">
        <v>3</v>
      </c>
      <c r="G308">
        <v>397</v>
      </c>
      <c r="H308" t="s">
        <v>256</v>
      </c>
      <c r="I308">
        <v>44.11</v>
      </c>
      <c r="J308">
        <v>271</v>
      </c>
      <c r="K308">
        <v>146.49</v>
      </c>
      <c r="L308">
        <v>0</v>
      </c>
      <c r="M308">
        <v>4</v>
      </c>
      <c r="N308">
        <v>1</v>
      </c>
      <c r="O308">
        <v>37</v>
      </c>
      <c r="P308">
        <v>16</v>
      </c>
      <c r="Q308" t="s">
        <v>37</v>
      </c>
      <c r="R308" t="s">
        <v>37</v>
      </c>
      <c r="S308" t="s">
        <v>37</v>
      </c>
      <c r="T308" t="s">
        <v>37</v>
      </c>
      <c r="U308" t="s">
        <v>37</v>
      </c>
      <c r="V308" t="s">
        <v>37</v>
      </c>
      <c r="W308" t="s">
        <v>37</v>
      </c>
      <c r="X308" t="s">
        <v>37</v>
      </c>
      <c r="Y308" t="s">
        <v>37</v>
      </c>
      <c r="Z308" t="s">
        <v>37</v>
      </c>
      <c r="AA308" t="s">
        <v>37</v>
      </c>
      <c r="AB308">
        <v>5</v>
      </c>
      <c r="AC308">
        <v>4</v>
      </c>
      <c r="AD308">
        <f t="shared" ca="1" si="4"/>
        <v>3</v>
      </c>
      <c r="AE308" t="e">
        <f>AVERAGE(Table1[[#This Row],[Runs Conceded]]/Table1[[#This Row],[Wickets Taken]])</f>
        <v>#VALUE!</v>
      </c>
    </row>
    <row r="309" spans="1:31" x14ac:dyDescent="0.3">
      <c r="A309" t="s">
        <v>250</v>
      </c>
      <c r="B309" t="s">
        <v>129</v>
      </c>
      <c r="C309" t="s">
        <v>28</v>
      </c>
      <c r="D309">
        <v>5</v>
      </c>
      <c r="E309">
        <v>4</v>
      </c>
      <c r="F309">
        <v>2</v>
      </c>
      <c r="G309">
        <v>66</v>
      </c>
      <c r="H309" t="s">
        <v>229</v>
      </c>
      <c r="I309">
        <v>33</v>
      </c>
      <c r="J309">
        <v>31</v>
      </c>
      <c r="K309">
        <v>212.9</v>
      </c>
      <c r="L309">
        <v>0</v>
      </c>
      <c r="M309">
        <v>0</v>
      </c>
      <c r="N309">
        <v>0</v>
      </c>
      <c r="O309">
        <v>7</v>
      </c>
      <c r="P309">
        <v>4</v>
      </c>
      <c r="Q309" t="s">
        <v>37</v>
      </c>
      <c r="R309" t="s">
        <v>37</v>
      </c>
      <c r="S309" t="s">
        <v>37</v>
      </c>
      <c r="T309" t="s">
        <v>37</v>
      </c>
      <c r="U309" t="s">
        <v>37</v>
      </c>
      <c r="V309" t="s">
        <v>37</v>
      </c>
      <c r="W309" t="s">
        <v>37</v>
      </c>
      <c r="X309" t="s">
        <v>37</v>
      </c>
      <c r="Y309" t="s">
        <v>37</v>
      </c>
      <c r="Z309" t="s">
        <v>37</v>
      </c>
      <c r="AA309" t="s">
        <v>37</v>
      </c>
      <c r="AB309">
        <v>0</v>
      </c>
      <c r="AC309">
        <v>0</v>
      </c>
      <c r="AD309">
        <f t="shared" ca="1" si="4"/>
        <v>9</v>
      </c>
      <c r="AE309" t="e">
        <f>AVERAGE(Table1[[#This Row],[Runs Conceded]]/Table1[[#This Row],[Wickets Taken]])</f>
        <v>#VALUE!</v>
      </c>
    </row>
    <row r="310" spans="1:31" x14ac:dyDescent="0.3">
      <c r="A310" t="s">
        <v>250</v>
      </c>
      <c r="B310" t="s">
        <v>129</v>
      </c>
      <c r="C310" t="s">
        <v>32</v>
      </c>
      <c r="D310">
        <v>7</v>
      </c>
      <c r="E310">
        <v>6</v>
      </c>
      <c r="F310">
        <v>1</v>
      </c>
      <c r="G310">
        <v>51</v>
      </c>
      <c r="H310" t="s">
        <v>257</v>
      </c>
      <c r="I310">
        <v>10.199999999999999</v>
      </c>
      <c r="J310">
        <v>41</v>
      </c>
      <c r="K310">
        <v>124.39</v>
      </c>
      <c r="L310">
        <v>0</v>
      </c>
      <c r="M310">
        <v>0</v>
      </c>
      <c r="N310">
        <v>1</v>
      </c>
      <c r="O310">
        <v>7</v>
      </c>
      <c r="P310">
        <v>1</v>
      </c>
      <c r="Q310" t="s">
        <v>37</v>
      </c>
      <c r="R310" t="s">
        <v>37</v>
      </c>
      <c r="S310" t="s">
        <v>37</v>
      </c>
      <c r="T310" t="s">
        <v>37</v>
      </c>
      <c r="U310" t="s">
        <v>37</v>
      </c>
      <c r="V310" t="s">
        <v>37</v>
      </c>
      <c r="W310" t="s">
        <v>37</v>
      </c>
      <c r="X310" t="s">
        <v>37</v>
      </c>
      <c r="Y310" t="s">
        <v>37</v>
      </c>
      <c r="Z310" t="s">
        <v>37</v>
      </c>
      <c r="AA310" t="s">
        <v>37</v>
      </c>
      <c r="AB310">
        <v>2</v>
      </c>
      <c r="AC310">
        <v>0</v>
      </c>
      <c r="AD310">
        <f t="shared" ca="1" si="4"/>
        <v>10</v>
      </c>
      <c r="AE310" t="e">
        <f>AVERAGE(Table1[[#This Row],[Runs Conceded]]/Table1[[#This Row],[Wickets Taken]])</f>
        <v>#VALUE!</v>
      </c>
    </row>
    <row r="311" spans="1:31" x14ac:dyDescent="0.3">
      <c r="A311" t="s">
        <v>250</v>
      </c>
      <c r="B311" t="s">
        <v>258</v>
      </c>
      <c r="C311" t="s">
        <v>28</v>
      </c>
      <c r="D311">
        <v>11</v>
      </c>
      <c r="E311">
        <v>6</v>
      </c>
      <c r="F311">
        <v>2</v>
      </c>
      <c r="G311">
        <v>119</v>
      </c>
      <c r="H311">
        <v>33</v>
      </c>
      <c r="I311">
        <v>29.75</v>
      </c>
      <c r="J311">
        <v>79</v>
      </c>
      <c r="K311">
        <v>150.63</v>
      </c>
      <c r="L311">
        <v>0</v>
      </c>
      <c r="M311">
        <v>0</v>
      </c>
      <c r="N311">
        <v>1</v>
      </c>
      <c r="O311">
        <v>9</v>
      </c>
      <c r="P311">
        <v>5</v>
      </c>
      <c r="Q311">
        <v>2</v>
      </c>
      <c r="R311">
        <v>1.4</v>
      </c>
      <c r="S311">
        <v>0</v>
      </c>
      <c r="T311">
        <v>8</v>
      </c>
      <c r="U311">
        <v>2</v>
      </c>
      <c r="V311" s="2">
        <v>43923</v>
      </c>
      <c r="W311">
        <v>4</v>
      </c>
      <c r="X311">
        <v>4.8</v>
      </c>
      <c r="Y311">
        <v>5</v>
      </c>
      <c r="Z311">
        <v>0</v>
      </c>
      <c r="AA311">
        <v>0</v>
      </c>
      <c r="AB311">
        <v>1</v>
      </c>
      <c r="AC311">
        <v>0</v>
      </c>
      <c r="AD311">
        <f t="shared" ca="1" si="4"/>
        <v>10</v>
      </c>
      <c r="AE311">
        <f>AVERAGE(Table1[[#This Row],[Runs Conceded]]/Table1[[#This Row],[Wickets Taken]])</f>
        <v>4</v>
      </c>
    </row>
    <row r="312" spans="1:31" x14ac:dyDescent="0.3">
      <c r="A312" t="s">
        <v>250</v>
      </c>
      <c r="B312" t="s">
        <v>258</v>
      </c>
      <c r="C312" t="s">
        <v>30</v>
      </c>
      <c r="D312">
        <v>3</v>
      </c>
      <c r="E312">
        <v>3</v>
      </c>
      <c r="F312">
        <v>0</v>
      </c>
      <c r="G312">
        <v>15</v>
      </c>
      <c r="H312">
        <v>12</v>
      </c>
      <c r="I312">
        <v>5</v>
      </c>
      <c r="J312">
        <v>15</v>
      </c>
      <c r="K312">
        <v>100</v>
      </c>
      <c r="L312">
        <v>0</v>
      </c>
      <c r="M312">
        <v>0</v>
      </c>
      <c r="N312">
        <v>0</v>
      </c>
      <c r="O312">
        <v>2</v>
      </c>
      <c r="P312">
        <v>0</v>
      </c>
      <c r="Q312" t="s">
        <v>37</v>
      </c>
      <c r="R312" t="s">
        <v>37</v>
      </c>
      <c r="S312" t="s">
        <v>37</v>
      </c>
      <c r="T312" t="s">
        <v>37</v>
      </c>
      <c r="U312" t="s">
        <v>37</v>
      </c>
      <c r="V312" t="s">
        <v>37</v>
      </c>
      <c r="W312" t="s">
        <v>37</v>
      </c>
      <c r="X312" t="s">
        <v>37</v>
      </c>
      <c r="Y312" t="s">
        <v>37</v>
      </c>
      <c r="Z312" t="s">
        <v>37</v>
      </c>
      <c r="AA312" t="s">
        <v>37</v>
      </c>
      <c r="AB312">
        <v>2</v>
      </c>
      <c r="AC312">
        <v>0</v>
      </c>
      <c r="AD312">
        <f t="shared" ca="1" si="4"/>
        <v>13</v>
      </c>
      <c r="AE312" t="e">
        <f>AVERAGE(Table1[[#This Row],[Runs Conceded]]/Table1[[#This Row],[Wickets Taken]])</f>
        <v>#VALUE!</v>
      </c>
    </row>
    <row r="313" spans="1:31" x14ac:dyDescent="0.3">
      <c r="A313" t="s">
        <v>250</v>
      </c>
      <c r="B313" t="s">
        <v>259</v>
      </c>
      <c r="C313" t="s">
        <v>28</v>
      </c>
      <c r="D313">
        <v>3</v>
      </c>
      <c r="E313">
        <v>3</v>
      </c>
      <c r="F313">
        <v>1</v>
      </c>
      <c r="G313">
        <v>54</v>
      </c>
      <c r="H313">
        <v>37</v>
      </c>
      <c r="I313">
        <v>27</v>
      </c>
      <c r="J313">
        <v>40</v>
      </c>
      <c r="K313">
        <v>135</v>
      </c>
      <c r="L313">
        <v>0</v>
      </c>
      <c r="M313">
        <v>0</v>
      </c>
      <c r="N313">
        <v>0</v>
      </c>
      <c r="O313">
        <v>3</v>
      </c>
      <c r="P313">
        <v>2</v>
      </c>
      <c r="Q313" t="s">
        <v>37</v>
      </c>
      <c r="R313" t="s">
        <v>37</v>
      </c>
      <c r="S313" t="s">
        <v>37</v>
      </c>
      <c r="T313" t="s">
        <v>37</v>
      </c>
      <c r="U313" t="s">
        <v>37</v>
      </c>
      <c r="V313" t="s">
        <v>37</v>
      </c>
      <c r="W313" t="s">
        <v>37</v>
      </c>
      <c r="X313" t="s">
        <v>37</v>
      </c>
      <c r="Y313" t="s">
        <v>37</v>
      </c>
      <c r="Z313" t="s">
        <v>37</v>
      </c>
      <c r="AA313" t="s">
        <v>37</v>
      </c>
      <c r="AB313">
        <v>0</v>
      </c>
      <c r="AC313">
        <v>0</v>
      </c>
      <c r="AD313">
        <f t="shared" ca="1" si="4"/>
        <v>11</v>
      </c>
      <c r="AE313" t="e">
        <f>AVERAGE(Table1[[#This Row],[Runs Conceded]]/Table1[[#This Row],[Wickets Taken]])</f>
        <v>#VALUE!</v>
      </c>
    </row>
    <row r="314" spans="1:31" x14ac:dyDescent="0.3">
      <c r="A314" t="s">
        <v>250</v>
      </c>
      <c r="B314" t="s">
        <v>259</v>
      </c>
      <c r="C314" t="s">
        <v>30</v>
      </c>
      <c r="D314">
        <v>7</v>
      </c>
      <c r="E314">
        <v>7</v>
      </c>
      <c r="F314">
        <v>2</v>
      </c>
      <c r="G314">
        <v>151</v>
      </c>
      <c r="H314" t="s">
        <v>260</v>
      </c>
      <c r="I314">
        <v>30.2</v>
      </c>
      <c r="J314">
        <v>108</v>
      </c>
      <c r="K314">
        <v>139.81</v>
      </c>
      <c r="L314">
        <v>0</v>
      </c>
      <c r="M314">
        <v>1</v>
      </c>
      <c r="N314">
        <v>1</v>
      </c>
      <c r="O314">
        <v>9</v>
      </c>
      <c r="P314">
        <v>6</v>
      </c>
      <c r="Q314">
        <v>5</v>
      </c>
      <c r="R314">
        <v>8</v>
      </c>
      <c r="S314">
        <v>0</v>
      </c>
      <c r="T314">
        <v>81</v>
      </c>
      <c r="U314">
        <v>2</v>
      </c>
      <c r="V314" s="1">
        <v>10990</v>
      </c>
      <c r="W314">
        <v>40.5</v>
      </c>
      <c r="X314">
        <v>10.119999999999999</v>
      </c>
      <c r="Y314">
        <v>24</v>
      </c>
      <c r="Z314">
        <v>0</v>
      </c>
      <c r="AA314">
        <v>0</v>
      </c>
      <c r="AB314">
        <v>3</v>
      </c>
      <c r="AC314">
        <v>0</v>
      </c>
      <c r="AD314">
        <f t="shared" ca="1" si="4"/>
        <v>17</v>
      </c>
      <c r="AE314">
        <f>AVERAGE(Table1[[#This Row],[Runs Conceded]]/Table1[[#This Row],[Wickets Taken]])</f>
        <v>40.5</v>
      </c>
    </row>
    <row r="315" spans="1:31" x14ac:dyDescent="0.3">
      <c r="A315" t="s">
        <v>250</v>
      </c>
      <c r="B315" t="s">
        <v>130</v>
      </c>
      <c r="C315" t="s">
        <v>28</v>
      </c>
      <c r="D315">
        <v>10</v>
      </c>
      <c r="E315">
        <v>10</v>
      </c>
      <c r="F315">
        <v>0</v>
      </c>
      <c r="G315">
        <v>227</v>
      </c>
      <c r="H315">
        <v>76</v>
      </c>
      <c r="I315">
        <v>22.7</v>
      </c>
      <c r="J315">
        <v>150</v>
      </c>
      <c r="K315">
        <v>151.33000000000001</v>
      </c>
      <c r="L315">
        <v>0</v>
      </c>
      <c r="M315">
        <v>2</v>
      </c>
      <c r="N315">
        <v>1</v>
      </c>
      <c r="O315">
        <v>17</v>
      </c>
      <c r="P315">
        <v>21</v>
      </c>
      <c r="Q315">
        <v>4</v>
      </c>
      <c r="R315">
        <v>10</v>
      </c>
      <c r="S315">
        <v>0</v>
      </c>
      <c r="T315">
        <v>63</v>
      </c>
      <c r="U315">
        <v>2</v>
      </c>
      <c r="V315" s="2">
        <v>44137</v>
      </c>
      <c r="W315">
        <v>31.5</v>
      </c>
      <c r="X315">
        <v>6.3</v>
      </c>
      <c r="Y315">
        <v>30</v>
      </c>
      <c r="Z315">
        <v>0</v>
      </c>
      <c r="AA315">
        <v>0</v>
      </c>
      <c r="AB315">
        <v>4</v>
      </c>
      <c r="AC315">
        <v>0</v>
      </c>
      <c r="AD315">
        <f t="shared" ca="1" si="4"/>
        <v>11</v>
      </c>
      <c r="AE315">
        <f>AVERAGE(Table1[[#This Row],[Runs Conceded]]/Table1[[#This Row],[Wickets Taken]])</f>
        <v>31.5</v>
      </c>
    </row>
    <row r="316" spans="1:31" x14ac:dyDescent="0.3">
      <c r="A316" t="s">
        <v>250</v>
      </c>
      <c r="B316" t="s">
        <v>130</v>
      </c>
      <c r="C316" t="s">
        <v>30</v>
      </c>
      <c r="D316">
        <v>9</v>
      </c>
      <c r="E316">
        <v>9</v>
      </c>
      <c r="F316">
        <v>0</v>
      </c>
      <c r="G316">
        <v>200</v>
      </c>
      <c r="H316">
        <v>77</v>
      </c>
      <c r="I316">
        <v>22.22</v>
      </c>
      <c r="J316">
        <v>163</v>
      </c>
      <c r="K316">
        <v>122.69</v>
      </c>
      <c r="L316">
        <v>0</v>
      </c>
      <c r="M316">
        <v>1</v>
      </c>
      <c r="N316">
        <v>2</v>
      </c>
      <c r="O316">
        <v>15</v>
      </c>
      <c r="P316">
        <v>14</v>
      </c>
      <c r="Q316" t="s">
        <v>37</v>
      </c>
      <c r="R316" t="s">
        <v>37</v>
      </c>
      <c r="S316" t="s">
        <v>37</v>
      </c>
      <c r="T316" t="s">
        <v>37</v>
      </c>
      <c r="U316" t="s">
        <v>37</v>
      </c>
      <c r="V316" t="s">
        <v>37</v>
      </c>
      <c r="W316" t="s">
        <v>37</v>
      </c>
      <c r="X316" t="s">
        <v>37</v>
      </c>
      <c r="Y316" t="s">
        <v>37</v>
      </c>
      <c r="Z316" t="s">
        <v>37</v>
      </c>
      <c r="AA316" t="s">
        <v>37</v>
      </c>
      <c r="AB316">
        <v>2</v>
      </c>
      <c r="AC316">
        <v>0</v>
      </c>
      <c r="AD316">
        <f t="shared" ca="1" si="4"/>
        <v>13</v>
      </c>
      <c r="AE316" t="e">
        <f>AVERAGE(Table1[[#This Row],[Runs Conceded]]/Table1[[#This Row],[Wickets Taken]])</f>
        <v>#VALUE!</v>
      </c>
    </row>
    <row r="317" spans="1:31" x14ac:dyDescent="0.3">
      <c r="A317" t="s">
        <v>250</v>
      </c>
      <c r="B317" t="s">
        <v>261</v>
      </c>
      <c r="C317" t="s">
        <v>28</v>
      </c>
      <c r="D317">
        <v>14</v>
      </c>
      <c r="E317">
        <v>6</v>
      </c>
      <c r="F317">
        <v>2</v>
      </c>
      <c r="G317">
        <v>63</v>
      </c>
      <c r="H317">
        <v>21</v>
      </c>
      <c r="I317">
        <v>15.75</v>
      </c>
      <c r="J317">
        <v>39</v>
      </c>
      <c r="K317">
        <v>161.53</v>
      </c>
      <c r="L317">
        <v>0</v>
      </c>
      <c r="M317">
        <v>0</v>
      </c>
      <c r="N317">
        <v>0</v>
      </c>
      <c r="O317">
        <v>5</v>
      </c>
      <c r="P317">
        <v>4</v>
      </c>
      <c r="Q317">
        <v>11</v>
      </c>
      <c r="R317">
        <v>17</v>
      </c>
      <c r="S317">
        <v>0</v>
      </c>
      <c r="T317">
        <v>134</v>
      </c>
      <c r="U317">
        <v>1</v>
      </c>
      <c r="V317" s="1">
        <v>42736</v>
      </c>
      <c r="W317">
        <v>134</v>
      </c>
      <c r="X317">
        <v>7.88</v>
      </c>
      <c r="Y317">
        <v>102</v>
      </c>
      <c r="Z317">
        <v>0</v>
      </c>
      <c r="AA317">
        <v>0</v>
      </c>
      <c r="AB317">
        <v>3</v>
      </c>
      <c r="AC317">
        <v>0</v>
      </c>
      <c r="AD317">
        <f t="shared" ca="1" si="4"/>
        <v>14</v>
      </c>
      <c r="AE317">
        <f>AVERAGE(Table1[[#This Row],[Runs Conceded]]/Table1[[#This Row],[Wickets Taken]])</f>
        <v>134</v>
      </c>
    </row>
    <row r="318" spans="1:31" x14ac:dyDescent="0.3">
      <c r="A318" t="s">
        <v>250</v>
      </c>
      <c r="B318" t="s">
        <v>261</v>
      </c>
      <c r="C318" t="s">
        <v>30</v>
      </c>
      <c r="D318">
        <v>8</v>
      </c>
      <c r="E318">
        <v>7</v>
      </c>
      <c r="F318">
        <v>2</v>
      </c>
      <c r="G318">
        <v>78</v>
      </c>
      <c r="H318" t="s">
        <v>104</v>
      </c>
      <c r="I318">
        <v>15.6</v>
      </c>
      <c r="J318">
        <v>76</v>
      </c>
      <c r="K318">
        <v>102.63</v>
      </c>
      <c r="L318">
        <v>0</v>
      </c>
      <c r="M318">
        <v>0</v>
      </c>
      <c r="N318">
        <v>0</v>
      </c>
      <c r="O318">
        <v>6</v>
      </c>
      <c r="P318">
        <v>3</v>
      </c>
      <c r="Q318">
        <v>4</v>
      </c>
      <c r="R318">
        <v>6</v>
      </c>
      <c r="S318">
        <v>0</v>
      </c>
      <c r="T318">
        <v>50</v>
      </c>
      <c r="U318">
        <v>4</v>
      </c>
      <c r="V318" s="2">
        <v>44075</v>
      </c>
      <c r="W318">
        <v>12.5</v>
      </c>
      <c r="X318">
        <v>8.33</v>
      </c>
      <c r="Y318">
        <v>9</v>
      </c>
      <c r="Z318">
        <v>0</v>
      </c>
      <c r="AA318">
        <v>0</v>
      </c>
      <c r="AB318">
        <v>1</v>
      </c>
      <c r="AC318">
        <v>0</v>
      </c>
      <c r="AD318">
        <f t="shared" ca="1" si="4"/>
        <v>5</v>
      </c>
      <c r="AE318">
        <f>AVERAGE(Table1[[#This Row],[Runs Conceded]]/Table1[[#This Row],[Wickets Taken]])</f>
        <v>12.5</v>
      </c>
    </row>
    <row r="319" spans="1:31" x14ac:dyDescent="0.3">
      <c r="A319" t="s">
        <v>250</v>
      </c>
      <c r="B319" t="s">
        <v>262</v>
      </c>
      <c r="C319" t="s">
        <v>28</v>
      </c>
      <c r="D319">
        <v>16</v>
      </c>
      <c r="E319">
        <v>15</v>
      </c>
      <c r="F319">
        <v>2</v>
      </c>
      <c r="G319">
        <v>179</v>
      </c>
      <c r="H319">
        <v>36</v>
      </c>
      <c r="I319">
        <v>13.76</v>
      </c>
      <c r="J319">
        <v>134</v>
      </c>
      <c r="K319">
        <v>133.58000000000001</v>
      </c>
      <c r="L319">
        <v>0</v>
      </c>
      <c r="M319">
        <v>0</v>
      </c>
      <c r="N319">
        <v>1</v>
      </c>
      <c r="O319">
        <v>14</v>
      </c>
      <c r="P319">
        <v>12</v>
      </c>
      <c r="Q319">
        <v>16</v>
      </c>
      <c r="R319">
        <v>56.3</v>
      </c>
      <c r="S319">
        <v>0</v>
      </c>
      <c r="T319">
        <v>485</v>
      </c>
      <c r="U319">
        <v>20</v>
      </c>
      <c r="V319" s="1">
        <v>47209</v>
      </c>
      <c r="W319">
        <v>24.25</v>
      </c>
      <c r="X319">
        <v>8.58</v>
      </c>
      <c r="Y319">
        <v>16.899999999999999</v>
      </c>
      <c r="Z319">
        <v>1</v>
      </c>
      <c r="AA319">
        <v>0</v>
      </c>
      <c r="AB319">
        <v>6</v>
      </c>
      <c r="AC319">
        <v>0</v>
      </c>
      <c r="AD319">
        <f t="shared" ca="1" si="4"/>
        <v>6</v>
      </c>
      <c r="AE319">
        <f>AVERAGE(Table1[[#This Row],[Runs Conceded]]/Table1[[#This Row],[Wickets Taken]])</f>
        <v>24.25</v>
      </c>
    </row>
    <row r="320" spans="1:31" x14ac:dyDescent="0.3">
      <c r="A320" t="s">
        <v>250</v>
      </c>
      <c r="B320" t="s">
        <v>262</v>
      </c>
      <c r="C320" t="s">
        <v>30</v>
      </c>
      <c r="D320">
        <v>8</v>
      </c>
      <c r="E320">
        <v>7</v>
      </c>
      <c r="F320">
        <v>1</v>
      </c>
      <c r="G320">
        <v>71</v>
      </c>
      <c r="H320">
        <v>24</v>
      </c>
      <c r="I320">
        <v>11.83</v>
      </c>
      <c r="J320">
        <v>78</v>
      </c>
      <c r="K320">
        <v>91.02</v>
      </c>
      <c r="L320">
        <v>0</v>
      </c>
      <c r="M320">
        <v>0</v>
      </c>
      <c r="N320">
        <v>0</v>
      </c>
      <c r="O320">
        <v>6</v>
      </c>
      <c r="P320">
        <v>1</v>
      </c>
      <c r="Q320">
        <v>8</v>
      </c>
      <c r="R320">
        <v>26.5</v>
      </c>
      <c r="S320">
        <v>0</v>
      </c>
      <c r="T320">
        <v>245</v>
      </c>
      <c r="U320">
        <v>5</v>
      </c>
      <c r="V320" s="1">
        <v>42370</v>
      </c>
      <c r="W320">
        <v>49</v>
      </c>
      <c r="X320">
        <v>9.1300000000000008</v>
      </c>
      <c r="Y320">
        <v>32.200000000000003</v>
      </c>
      <c r="Z320">
        <v>0</v>
      </c>
      <c r="AA320">
        <v>0</v>
      </c>
      <c r="AB320">
        <v>2</v>
      </c>
      <c r="AC320">
        <v>0</v>
      </c>
      <c r="AD320">
        <f t="shared" ca="1" si="4"/>
        <v>8</v>
      </c>
      <c r="AE320">
        <f>AVERAGE(Table1[[#This Row],[Runs Conceded]]/Table1[[#This Row],[Wickets Taken]])</f>
        <v>49</v>
      </c>
    </row>
    <row r="321" spans="1:31" x14ac:dyDescent="0.3">
      <c r="A321" t="s">
        <v>250</v>
      </c>
      <c r="B321" t="s">
        <v>263</v>
      </c>
      <c r="C321" t="s">
        <v>28</v>
      </c>
      <c r="D321">
        <v>4</v>
      </c>
      <c r="E321">
        <v>1</v>
      </c>
      <c r="F321">
        <v>0</v>
      </c>
      <c r="G321">
        <v>10</v>
      </c>
      <c r="H321">
        <v>10</v>
      </c>
      <c r="I321">
        <v>10</v>
      </c>
      <c r="J321">
        <v>9</v>
      </c>
      <c r="K321">
        <v>111.11</v>
      </c>
      <c r="L321">
        <v>0</v>
      </c>
      <c r="M321">
        <v>0</v>
      </c>
      <c r="N321">
        <v>0</v>
      </c>
      <c r="O321">
        <v>1</v>
      </c>
      <c r="P321">
        <v>0</v>
      </c>
      <c r="Q321">
        <v>4</v>
      </c>
      <c r="R321">
        <v>14</v>
      </c>
      <c r="S321">
        <v>0</v>
      </c>
      <c r="T321">
        <v>129</v>
      </c>
      <c r="U321">
        <v>1</v>
      </c>
      <c r="V321" s="1">
        <v>11324</v>
      </c>
      <c r="W321">
        <v>129</v>
      </c>
      <c r="X321">
        <v>9.2100000000000009</v>
      </c>
      <c r="Y321">
        <v>84</v>
      </c>
      <c r="Z321">
        <v>0</v>
      </c>
      <c r="AA321">
        <v>0</v>
      </c>
      <c r="AB321">
        <v>2</v>
      </c>
      <c r="AC321">
        <v>0</v>
      </c>
      <c r="AD321">
        <f t="shared" ca="1" si="4"/>
        <v>7</v>
      </c>
      <c r="AE321">
        <f>AVERAGE(Table1[[#This Row],[Runs Conceded]]/Table1[[#This Row],[Wickets Taken]])</f>
        <v>129</v>
      </c>
    </row>
    <row r="322" spans="1:31" x14ac:dyDescent="0.3">
      <c r="A322" t="s">
        <v>250</v>
      </c>
      <c r="B322" t="s">
        <v>264</v>
      </c>
      <c r="C322" t="s">
        <v>28</v>
      </c>
      <c r="D322">
        <v>9</v>
      </c>
      <c r="E322">
        <v>1</v>
      </c>
      <c r="F322">
        <v>0</v>
      </c>
      <c r="G322">
        <v>3</v>
      </c>
      <c r="H322">
        <v>3</v>
      </c>
      <c r="I322">
        <v>3</v>
      </c>
      <c r="J322">
        <v>4</v>
      </c>
      <c r="K322">
        <v>75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9</v>
      </c>
      <c r="R322">
        <v>28</v>
      </c>
      <c r="S322">
        <v>0</v>
      </c>
      <c r="T322">
        <v>258</v>
      </c>
      <c r="U322">
        <v>11</v>
      </c>
      <c r="V322" s="2">
        <v>44139</v>
      </c>
      <c r="W322">
        <v>23.45</v>
      </c>
      <c r="X322">
        <v>9.2100000000000009</v>
      </c>
      <c r="Y322">
        <v>15.2</v>
      </c>
      <c r="Z322">
        <v>1</v>
      </c>
      <c r="AA322">
        <v>0</v>
      </c>
      <c r="AB322">
        <v>4</v>
      </c>
      <c r="AC322">
        <v>0</v>
      </c>
      <c r="AD322">
        <f t="shared" ref="AD322:AD385" ca="1" si="5">RANDBETWEEN(3,18)</f>
        <v>15</v>
      </c>
      <c r="AE322">
        <f>AVERAGE(Table1[[#This Row],[Runs Conceded]]/Table1[[#This Row],[Wickets Taken]])</f>
        <v>23.454545454545453</v>
      </c>
    </row>
    <row r="323" spans="1:31" x14ac:dyDescent="0.3">
      <c r="A323" t="s">
        <v>250</v>
      </c>
      <c r="B323" t="s">
        <v>265</v>
      </c>
      <c r="C323" t="s">
        <v>28</v>
      </c>
      <c r="D323">
        <v>4</v>
      </c>
      <c r="E323">
        <v>3</v>
      </c>
      <c r="F323">
        <v>3</v>
      </c>
      <c r="G323">
        <v>42</v>
      </c>
      <c r="H323" t="s">
        <v>266</v>
      </c>
      <c r="I323" t="s">
        <v>37</v>
      </c>
      <c r="J323">
        <v>32</v>
      </c>
      <c r="K323">
        <v>131.25</v>
      </c>
      <c r="L323">
        <v>0</v>
      </c>
      <c r="M323">
        <v>0</v>
      </c>
      <c r="N323">
        <v>0</v>
      </c>
      <c r="O323">
        <v>2</v>
      </c>
      <c r="P323">
        <v>2</v>
      </c>
      <c r="Q323" t="s">
        <v>37</v>
      </c>
      <c r="R323" t="s">
        <v>37</v>
      </c>
      <c r="S323" t="s">
        <v>37</v>
      </c>
      <c r="T323" t="s">
        <v>37</v>
      </c>
      <c r="U323" t="s">
        <v>37</v>
      </c>
      <c r="V323" t="s">
        <v>37</v>
      </c>
      <c r="W323" t="s">
        <v>37</v>
      </c>
      <c r="X323" t="s">
        <v>37</v>
      </c>
      <c r="Y323" t="s">
        <v>37</v>
      </c>
      <c r="Z323" t="s">
        <v>37</v>
      </c>
      <c r="AA323" t="s">
        <v>37</v>
      </c>
      <c r="AB323">
        <v>1</v>
      </c>
      <c r="AC323">
        <v>0</v>
      </c>
      <c r="AD323">
        <f t="shared" ca="1" si="5"/>
        <v>15</v>
      </c>
      <c r="AE323" t="e">
        <f>AVERAGE(Table1[[#This Row],[Runs Conceded]]/Table1[[#This Row],[Wickets Taken]])</f>
        <v>#VALUE!</v>
      </c>
    </row>
    <row r="324" spans="1:31" x14ac:dyDescent="0.3">
      <c r="A324" t="s">
        <v>250</v>
      </c>
      <c r="B324" t="s">
        <v>265</v>
      </c>
      <c r="C324" t="s">
        <v>30</v>
      </c>
      <c r="D324">
        <v>13</v>
      </c>
      <c r="E324">
        <v>13</v>
      </c>
      <c r="F324">
        <v>1</v>
      </c>
      <c r="G324">
        <v>267</v>
      </c>
      <c r="H324">
        <v>69</v>
      </c>
      <c r="I324">
        <v>22.25</v>
      </c>
      <c r="J324">
        <v>186</v>
      </c>
      <c r="K324">
        <v>143.54</v>
      </c>
      <c r="L324">
        <v>0</v>
      </c>
      <c r="M324">
        <v>1</v>
      </c>
      <c r="N324">
        <v>0</v>
      </c>
      <c r="O324">
        <v>25</v>
      </c>
      <c r="P324">
        <v>10</v>
      </c>
      <c r="Q324" t="s">
        <v>37</v>
      </c>
      <c r="R324" t="s">
        <v>37</v>
      </c>
      <c r="S324" t="s">
        <v>37</v>
      </c>
      <c r="T324" t="s">
        <v>37</v>
      </c>
      <c r="U324" t="s">
        <v>37</v>
      </c>
      <c r="V324" t="s">
        <v>37</v>
      </c>
      <c r="W324" t="s">
        <v>37</v>
      </c>
      <c r="X324" t="s">
        <v>37</v>
      </c>
      <c r="Y324" t="s">
        <v>37</v>
      </c>
      <c r="Z324" t="s">
        <v>37</v>
      </c>
      <c r="AA324" t="s">
        <v>37</v>
      </c>
      <c r="AB324">
        <v>7</v>
      </c>
      <c r="AC324">
        <v>3</v>
      </c>
      <c r="AD324">
        <f t="shared" ca="1" si="5"/>
        <v>17</v>
      </c>
      <c r="AE324" t="e">
        <f>AVERAGE(Table1[[#This Row],[Runs Conceded]]/Table1[[#This Row],[Wickets Taken]])</f>
        <v>#VALUE!</v>
      </c>
    </row>
    <row r="325" spans="1:31" x14ac:dyDescent="0.3">
      <c r="A325" t="s">
        <v>250</v>
      </c>
      <c r="B325" t="s">
        <v>267</v>
      </c>
      <c r="C325" t="s">
        <v>28</v>
      </c>
      <c r="D325">
        <v>8</v>
      </c>
      <c r="E325">
        <v>2</v>
      </c>
      <c r="F325">
        <v>2</v>
      </c>
      <c r="G325">
        <v>37</v>
      </c>
      <c r="H325" t="s">
        <v>134</v>
      </c>
      <c r="I325" t="s">
        <v>37</v>
      </c>
      <c r="J325">
        <v>27</v>
      </c>
      <c r="K325">
        <v>137.03</v>
      </c>
      <c r="L325">
        <v>0</v>
      </c>
      <c r="M325">
        <v>0</v>
      </c>
      <c r="N325">
        <v>0</v>
      </c>
      <c r="O325">
        <v>4</v>
      </c>
      <c r="P325">
        <v>1</v>
      </c>
      <c r="Q325">
        <v>8</v>
      </c>
      <c r="R325">
        <v>25</v>
      </c>
      <c r="S325">
        <v>0</v>
      </c>
      <c r="T325">
        <v>213</v>
      </c>
      <c r="U325">
        <v>6</v>
      </c>
      <c r="V325" s="1">
        <v>14671</v>
      </c>
      <c r="W325">
        <v>35.5</v>
      </c>
      <c r="X325">
        <v>8.52</v>
      </c>
      <c r="Y325">
        <v>25</v>
      </c>
      <c r="Z325">
        <v>0</v>
      </c>
      <c r="AA325">
        <v>0</v>
      </c>
      <c r="AB325">
        <v>4</v>
      </c>
      <c r="AC325">
        <v>0</v>
      </c>
      <c r="AD325">
        <f t="shared" ca="1" si="5"/>
        <v>6</v>
      </c>
      <c r="AE325">
        <f>AVERAGE(Table1[[#This Row],[Runs Conceded]]/Table1[[#This Row],[Wickets Taken]])</f>
        <v>35.5</v>
      </c>
    </row>
    <row r="326" spans="1:31" x14ac:dyDescent="0.3">
      <c r="A326" t="s">
        <v>250</v>
      </c>
      <c r="B326" t="s">
        <v>267</v>
      </c>
      <c r="C326" t="s">
        <v>30</v>
      </c>
      <c r="D326">
        <v>2</v>
      </c>
      <c r="E326">
        <v>1</v>
      </c>
      <c r="F326">
        <v>1</v>
      </c>
      <c r="G326">
        <v>5</v>
      </c>
      <c r="H326" t="s">
        <v>121</v>
      </c>
      <c r="I326" t="s">
        <v>37</v>
      </c>
      <c r="J326">
        <v>7</v>
      </c>
      <c r="K326">
        <v>71.42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2</v>
      </c>
      <c r="R326">
        <v>5</v>
      </c>
      <c r="S326">
        <v>0</v>
      </c>
      <c r="T326">
        <v>55</v>
      </c>
      <c r="U326">
        <v>2</v>
      </c>
      <c r="V326" s="1">
        <v>13181</v>
      </c>
      <c r="W326">
        <v>27.5</v>
      </c>
      <c r="X326">
        <v>11</v>
      </c>
      <c r="Y326">
        <v>15</v>
      </c>
      <c r="Z326">
        <v>0</v>
      </c>
      <c r="AA326">
        <v>0</v>
      </c>
      <c r="AB326">
        <v>0</v>
      </c>
      <c r="AC326">
        <v>0</v>
      </c>
      <c r="AD326">
        <f t="shared" ca="1" si="5"/>
        <v>5</v>
      </c>
      <c r="AE326">
        <f>AVERAGE(Table1[[#This Row],[Runs Conceded]]/Table1[[#This Row],[Wickets Taken]])</f>
        <v>27.5</v>
      </c>
    </row>
    <row r="327" spans="1:31" x14ac:dyDescent="0.3">
      <c r="A327" t="s">
        <v>250</v>
      </c>
      <c r="B327" t="s">
        <v>268</v>
      </c>
      <c r="C327" t="s">
        <v>28</v>
      </c>
      <c r="D327">
        <v>1</v>
      </c>
      <c r="E327">
        <v>1</v>
      </c>
      <c r="F327">
        <v>1</v>
      </c>
      <c r="G327">
        <v>5</v>
      </c>
      <c r="H327" t="s">
        <v>121</v>
      </c>
      <c r="I327" t="s">
        <v>37</v>
      </c>
      <c r="J327">
        <v>4</v>
      </c>
      <c r="K327">
        <v>125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</v>
      </c>
      <c r="R327">
        <v>4</v>
      </c>
      <c r="S327">
        <v>0</v>
      </c>
      <c r="T327">
        <v>49</v>
      </c>
      <c r="U327">
        <v>0</v>
      </c>
      <c r="V327" t="s">
        <v>37</v>
      </c>
      <c r="W327" t="s">
        <v>37</v>
      </c>
      <c r="X327">
        <v>12.25</v>
      </c>
      <c r="Y327" t="s">
        <v>37</v>
      </c>
      <c r="Z327">
        <v>0</v>
      </c>
      <c r="AA327">
        <v>0</v>
      </c>
      <c r="AB327">
        <v>1</v>
      </c>
      <c r="AC327">
        <v>0</v>
      </c>
      <c r="AD327">
        <f t="shared" ca="1" si="5"/>
        <v>3</v>
      </c>
      <c r="AE327" t="e">
        <f>AVERAGE(Table1[[#This Row],[Runs Conceded]]/Table1[[#This Row],[Wickets Taken]])</f>
        <v>#DIV/0!</v>
      </c>
    </row>
    <row r="328" spans="1:31" x14ac:dyDescent="0.3">
      <c r="A328" t="s">
        <v>250</v>
      </c>
      <c r="B328" t="s">
        <v>269</v>
      </c>
      <c r="C328" t="s">
        <v>28</v>
      </c>
      <c r="D328">
        <v>4</v>
      </c>
      <c r="E328">
        <v>1</v>
      </c>
      <c r="F328">
        <v>1</v>
      </c>
      <c r="G328">
        <v>1</v>
      </c>
      <c r="H328" t="s">
        <v>55</v>
      </c>
      <c r="I328" t="s">
        <v>37</v>
      </c>
      <c r="J328">
        <v>1</v>
      </c>
      <c r="K328">
        <v>100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4</v>
      </c>
      <c r="R328">
        <v>14</v>
      </c>
      <c r="S328">
        <v>0</v>
      </c>
      <c r="T328">
        <v>136</v>
      </c>
      <c r="U328">
        <v>7</v>
      </c>
      <c r="V328" s="1">
        <v>41334</v>
      </c>
      <c r="W328">
        <v>19.420000000000002</v>
      </c>
      <c r="X328">
        <v>9.7100000000000009</v>
      </c>
      <c r="Y328">
        <v>12</v>
      </c>
      <c r="Z328">
        <v>0</v>
      </c>
      <c r="AA328">
        <v>0</v>
      </c>
      <c r="AB328">
        <v>2</v>
      </c>
      <c r="AC328">
        <v>0</v>
      </c>
      <c r="AD328">
        <f t="shared" ca="1" si="5"/>
        <v>5</v>
      </c>
      <c r="AE328">
        <f>AVERAGE(Table1[[#This Row],[Runs Conceded]]/Table1[[#This Row],[Wickets Taken]])</f>
        <v>19.428571428571427</v>
      </c>
    </row>
    <row r="329" spans="1:31" x14ac:dyDescent="0.3">
      <c r="A329" t="s">
        <v>250</v>
      </c>
      <c r="B329" t="s">
        <v>132</v>
      </c>
      <c r="C329" t="s">
        <v>28</v>
      </c>
      <c r="D329">
        <v>8</v>
      </c>
      <c r="E329">
        <v>1</v>
      </c>
      <c r="F329">
        <v>1</v>
      </c>
      <c r="G329">
        <v>0</v>
      </c>
      <c r="H329" t="s">
        <v>148</v>
      </c>
      <c r="I329" t="s">
        <v>37</v>
      </c>
      <c r="J329">
        <v>0</v>
      </c>
      <c r="K329" t="s">
        <v>37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8</v>
      </c>
      <c r="R329">
        <v>23.4</v>
      </c>
      <c r="S329">
        <v>0</v>
      </c>
      <c r="T329">
        <v>227</v>
      </c>
      <c r="U329">
        <v>2</v>
      </c>
      <c r="V329" s="1">
        <v>13547</v>
      </c>
      <c r="W329">
        <v>113.5</v>
      </c>
      <c r="X329">
        <v>9.59</v>
      </c>
      <c r="Y329">
        <v>71</v>
      </c>
      <c r="Z329">
        <v>0</v>
      </c>
      <c r="AA329">
        <v>0</v>
      </c>
      <c r="AB329">
        <v>0</v>
      </c>
      <c r="AC329">
        <v>0</v>
      </c>
      <c r="AD329">
        <f t="shared" ca="1" si="5"/>
        <v>14</v>
      </c>
      <c r="AE329">
        <f>AVERAGE(Table1[[#This Row],[Runs Conceded]]/Table1[[#This Row],[Wickets Taken]])</f>
        <v>113.5</v>
      </c>
    </row>
    <row r="330" spans="1:31" x14ac:dyDescent="0.3">
      <c r="A330" t="s">
        <v>250</v>
      </c>
      <c r="B330" t="s">
        <v>65</v>
      </c>
      <c r="C330" t="s">
        <v>28</v>
      </c>
      <c r="D330">
        <v>5</v>
      </c>
      <c r="E330">
        <v>1</v>
      </c>
      <c r="F330">
        <v>1</v>
      </c>
      <c r="G330">
        <v>0</v>
      </c>
      <c r="H330" t="s">
        <v>148</v>
      </c>
      <c r="I330" t="s">
        <v>37</v>
      </c>
      <c r="J330">
        <v>0</v>
      </c>
      <c r="K330" t="s">
        <v>37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5</v>
      </c>
      <c r="R330">
        <v>14</v>
      </c>
      <c r="S330">
        <v>0</v>
      </c>
      <c r="T330">
        <v>147</v>
      </c>
      <c r="U330">
        <v>1</v>
      </c>
      <c r="V330" s="1">
        <v>16803</v>
      </c>
      <c r="W330">
        <v>147</v>
      </c>
      <c r="X330">
        <v>10.5</v>
      </c>
      <c r="Y330">
        <v>84</v>
      </c>
      <c r="Z330">
        <v>0</v>
      </c>
      <c r="AA330">
        <v>0</v>
      </c>
      <c r="AB330">
        <v>2</v>
      </c>
      <c r="AC330">
        <v>0</v>
      </c>
      <c r="AD330">
        <f t="shared" ca="1" si="5"/>
        <v>6</v>
      </c>
      <c r="AE330">
        <f>AVERAGE(Table1[[#This Row],[Runs Conceded]]/Table1[[#This Row],[Wickets Taken]])</f>
        <v>147</v>
      </c>
    </row>
    <row r="331" spans="1:31" x14ac:dyDescent="0.3">
      <c r="A331" t="s">
        <v>250</v>
      </c>
      <c r="B331" t="s">
        <v>65</v>
      </c>
      <c r="C331" t="s">
        <v>30</v>
      </c>
      <c r="D331">
        <v>1</v>
      </c>
      <c r="E331" t="s">
        <v>37</v>
      </c>
      <c r="F331" t="s">
        <v>37</v>
      </c>
      <c r="G331" t="s">
        <v>37</v>
      </c>
      <c r="H331" t="s">
        <v>37</v>
      </c>
      <c r="I331" t="s">
        <v>37</v>
      </c>
      <c r="J331" t="s">
        <v>37</v>
      </c>
      <c r="K331" t="s">
        <v>37</v>
      </c>
      <c r="L331" t="s">
        <v>37</v>
      </c>
      <c r="M331" t="s">
        <v>37</v>
      </c>
      <c r="N331" t="s">
        <v>37</v>
      </c>
      <c r="O331" t="s">
        <v>37</v>
      </c>
      <c r="P331" t="s">
        <v>37</v>
      </c>
      <c r="Q331">
        <v>1</v>
      </c>
      <c r="R331">
        <v>4</v>
      </c>
      <c r="S331">
        <v>0</v>
      </c>
      <c r="T331">
        <v>43</v>
      </c>
      <c r="U331">
        <v>3</v>
      </c>
      <c r="V331" s="1">
        <v>15766</v>
      </c>
      <c r="W331">
        <v>14.33</v>
      </c>
      <c r="X331">
        <v>10.75</v>
      </c>
      <c r="Y331">
        <v>8</v>
      </c>
      <c r="Z331">
        <v>0</v>
      </c>
      <c r="AA331">
        <v>0</v>
      </c>
      <c r="AB331">
        <v>0</v>
      </c>
      <c r="AC331">
        <v>0</v>
      </c>
      <c r="AD331">
        <f t="shared" ca="1" si="5"/>
        <v>7</v>
      </c>
      <c r="AE331">
        <f>AVERAGE(Table1[[#This Row],[Runs Conceded]]/Table1[[#This Row],[Wickets Taken]])</f>
        <v>14.333333333333334</v>
      </c>
    </row>
    <row r="332" spans="1:31" x14ac:dyDescent="0.3">
      <c r="A332" t="s">
        <v>250</v>
      </c>
      <c r="B332" t="s">
        <v>270</v>
      </c>
      <c r="C332" t="s">
        <v>28</v>
      </c>
      <c r="D332">
        <v>9</v>
      </c>
      <c r="E332" t="s">
        <v>37</v>
      </c>
      <c r="F332" t="s">
        <v>37</v>
      </c>
      <c r="G332" t="s">
        <v>37</v>
      </c>
      <c r="H332" t="s">
        <v>37</v>
      </c>
      <c r="I332" t="s">
        <v>37</v>
      </c>
      <c r="J332" t="s">
        <v>37</v>
      </c>
      <c r="K332" t="s">
        <v>37</v>
      </c>
      <c r="L332" t="s">
        <v>37</v>
      </c>
      <c r="M332" t="s">
        <v>37</v>
      </c>
      <c r="N332" t="s">
        <v>37</v>
      </c>
      <c r="O332" t="s">
        <v>37</v>
      </c>
      <c r="P332" t="s">
        <v>37</v>
      </c>
      <c r="Q332">
        <v>9</v>
      </c>
      <c r="R332">
        <v>29.1</v>
      </c>
      <c r="S332">
        <v>0</v>
      </c>
      <c r="T332">
        <v>216</v>
      </c>
      <c r="U332">
        <v>11</v>
      </c>
      <c r="V332" s="1">
        <v>43132</v>
      </c>
      <c r="W332">
        <v>19.63</v>
      </c>
      <c r="X332">
        <v>7.4</v>
      </c>
      <c r="Y332">
        <v>15.9</v>
      </c>
      <c r="Z332">
        <v>0</v>
      </c>
      <c r="AA332">
        <v>0</v>
      </c>
      <c r="AB332">
        <v>3</v>
      </c>
      <c r="AC332">
        <v>0</v>
      </c>
      <c r="AD332">
        <f t="shared" ca="1" si="5"/>
        <v>8</v>
      </c>
      <c r="AE332">
        <f>AVERAGE(Table1[[#This Row],[Runs Conceded]]/Table1[[#This Row],[Wickets Taken]])</f>
        <v>19.636363636363637</v>
      </c>
    </row>
    <row r="333" spans="1:31" x14ac:dyDescent="0.3">
      <c r="A333" t="s">
        <v>250</v>
      </c>
      <c r="B333" t="s">
        <v>270</v>
      </c>
      <c r="C333" t="s">
        <v>30</v>
      </c>
      <c r="D333">
        <v>10</v>
      </c>
      <c r="E333">
        <v>8</v>
      </c>
      <c r="F333">
        <v>4</v>
      </c>
      <c r="G333">
        <v>32</v>
      </c>
      <c r="H333">
        <v>9</v>
      </c>
      <c r="I333">
        <v>8</v>
      </c>
      <c r="J333">
        <v>40</v>
      </c>
      <c r="K333">
        <v>80</v>
      </c>
      <c r="L333">
        <v>0</v>
      </c>
      <c r="M333">
        <v>0</v>
      </c>
      <c r="N333">
        <v>2</v>
      </c>
      <c r="O333">
        <v>2</v>
      </c>
      <c r="P333">
        <v>0</v>
      </c>
      <c r="Q333">
        <v>10</v>
      </c>
      <c r="R333">
        <v>30.3</v>
      </c>
      <c r="S333">
        <v>0</v>
      </c>
      <c r="T333">
        <v>275</v>
      </c>
      <c r="U333">
        <v>5</v>
      </c>
      <c r="V333" s="1">
        <v>47150</v>
      </c>
      <c r="W333">
        <v>55</v>
      </c>
      <c r="X333">
        <v>9.01</v>
      </c>
      <c r="Y333">
        <v>36.6</v>
      </c>
      <c r="Z333">
        <v>0</v>
      </c>
      <c r="AA333">
        <v>0</v>
      </c>
      <c r="AB333">
        <v>1</v>
      </c>
      <c r="AC333">
        <v>0</v>
      </c>
      <c r="AD333">
        <f t="shared" ca="1" si="5"/>
        <v>15</v>
      </c>
      <c r="AE333">
        <f>AVERAGE(Table1[[#This Row],[Runs Conceded]]/Table1[[#This Row],[Wickets Taken]])</f>
        <v>55</v>
      </c>
    </row>
    <row r="334" spans="1:31" x14ac:dyDescent="0.3">
      <c r="A334" t="s">
        <v>250</v>
      </c>
      <c r="B334" t="s">
        <v>271</v>
      </c>
      <c r="C334" t="s">
        <v>28</v>
      </c>
      <c r="D334">
        <v>13</v>
      </c>
      <c r="E334" t="s">
        <v>37</v>
      </c>
      <c r="F334" t="s">
        <v>37</v>
      </c>
      <c r="G334" t="s">
        <v>37</v>
      </c>
      <c r="H334" t="s">
        <v>37</v>
      </c>
      <c r="I334" t="s">
        <v>37</v>
      </c>
      <c r="J334" t="s">
        <v>37</v>
      </c>
      <c r="K334" t="s">
        <v>37</v>
      </c>
      <c r="L334" t="s">
        <v>37</v>
      </c>
      <c r="M334" t="s">
        <v>37</v>
      </c>
      <c r="N334" t="s">
        <v>37</v>
      </c>
      <c r="O334" t="s">
        <v>37</v>
      </c>
      <c r="P334" t="s">
        <v>37</v>
      </c>
      <c r="Q334">
        <v>13</v>
      </c>
      <c r="R334">
        <v>49.1</v>
      </c>
      <c r="S334">
        <v>0</v>
      </c>
      <c r="T334">
        <v>401</v>
      </c>
      <c r="U334">
        <v>21</v>
      </c>
      <c r="V334" s="1">
        <v>45748</v>
      </c>
      <c r="W334">
        <v>19.09</v>
      </c>
      <c r="X334">
        <v>8.15</v>
      </c>
      <c r="Y334">
        <v>14</v>
      </c>
      <c r="Z334">
        <v>1</v>
      </c>
      <c r="AA334">
        <v>0</v>
      </c>
      <c r="AB334">
        <v>4</v>
      </c>
      <c r="AC334">
        <v>0</v>
      </c>
      <c r="AD334">
        <f t="shared" ca="1" si="5"/>
        <v>10</v>
      </c>
      <c r="AE334">
        <f>AVERAGE(Table1[[#This Row],[Runs Conceded]]/Table1[[#This Row],[Wickets Taken]])</f>
        <v>19.095238095238095</v>
      </c>
    </row>
    <row r="335" spans="1:31" x14ac:dyDescent="0.3">
      <c r="A335" t="s">
        <v>250</v>
      </c>
      <c r="B335" t="s">
        <v>271</v>
      </c>
      <c r="C335" t="s">
        <v>30</v>
      </c>
      <c r="D335">
        <v>13</v>
      </c>
      <c r="E335">
        <v>6</v>
      </c>
      <c r="F335">
        <v>3</v>
      </c>
      <c r="G335">
        <v>13</v>
      </c>
      <c r="H335" t="s">
        <v>113</v>
      </c>
      <c r="I335">
        <v>4.33</v>
      </c>
      <c r="J335">
        <v>26</v>
      </c>
      <c r="K335">
        <v>50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13</v>
      </c>
      <c r="R335">
        <v>43.3</v>
      </c>
      <c r="S335">
        <v>0</v>
      </c>
      <c r="T335">
        <v>333</v>
      </c>
      <c r="U335">
        <v>14</v>
      </c>
      <c r="V335" s="1">
        <v>42430</v>
      </c>
      <c r="W335">
        <v>23.78</v>
      </c>
      <c r="X335">
        <v>7.65</v>
      </c>
      <c r="Y335">
        <v>18.600000000000001</v>
      </c>
      <c r="Z335">
        <v>0</v>
      </c>
      <c r="AA335">
        <v>0</v>
      </c>
      <c r="AB335">
        <v>3</v>
      </c>
      <c r="AC335">
        <v>0</v>
      </c>
      <c r="AD335">
        <f t="shared" ca="1" si="5"/>
        <v>18</v>
      </c>
      <c r="AE335">
        <f>AVERAGE(Table1[[#This Row],[Runs Conceded]]/Table1[[#This Row],[Wickets Taken]])</f>
        <v>23.785714285714285</v>
      </c>
    </row>
    <row r="336" spans="1:31" x14ac:dyDescent="0.3">
      <c r="A336" t="s">
        <v>250</v>
      </c>
      <c r="B336" t="s">
        <v>271</v>
      </c>
      <c r="C336" t="s">
        <v>32</v>
      </c>
      <c r="D336">
        <v>14</v>
      </c>
      <c r="E336">
        <v>1</v>
      </c>
      <c r="F336">
        <v>1</v>
      </c>
      <c r="G336">
        <v>0</v>
      </c>
      <c r="H336" t="s">
        <v>148</v>
      </c>
      <c r="I336" t="s">
        <v>37</v>
      </c>
      <c r="J336">
        <v>4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14</v>
      </c>
      <c r="R336">
        <v>50</v>
      </c>
      <c r="S336">
        <v>1</v>
      </c>
      <c r="T336">
        <v>363</v>
      </c>
      <c r="U336">
        <v>12</v>
      </c>
      <c r="V336" s="1">
        <v>44593</v>
      </c>
      <c r="W336">
        <v>30.25</v>
      </c>
      <c r="X336">
        <v>7.26</v>
      </c>
      <c r="Y336">
        <v>25</v>
      </c>
      <c r="Z336">
        <v>0</v>
      </c>
      <c r="AA336">
        <v>0</v>
      </c>
      <c r="AB336">
        <v>2</v>
      </c>
      <c r="AC336">
        <v>0</v>
      </c>
      <c r="AD336">
        <f t="shared" ca="1" si="5"/>
        <v>10</v>
      </c>
      <c r="AE336">
        <f>AVERAGE(Table1[[#This Row],[Runs Conceded]]/Table1[[#This Row],[Wickets Taken]])</f>
        <v>30.25</v>
      </c>
    </row>
    <row r="337" spans="1:31" x14ac:dyDescent="0.3">
      <c r="A337" t="s">
        <v>250</v>
      </c>
      <c r="B337" t="s">
        <v>271</v>
      </c>
      <c r="C337" t="s">
        <v>92</v>
      </c>
      <c r="D337">
        <v>14</v>
      </c>
      <c r="E337">
        <v>3</v>
      </c>
      <c r="F337">
        <v>1</v>
      </c>
      <c r="G337">
        <v>6</v>
      </c>
      <c r="H337">
        <v>4</v>
      </c>
      <c r="I337">
        <v>3</v>
      </c>
      <c r="J337">
        <v>16</v>
      </c>
      <c r="K337">
        <v>37.5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14</v>
      </c>
      <c r="R337">
        <v>49.2</v>
      </c>
      <c r="S337">
        <v>1</v>
      </c>
      <c r="T337">
        <v>386</v>
      </c>
      <c r="U337">
        <v>18</v>
      </c>
      <c r="V337" s="1">
        <v>13971</v>
      </c>
      <c r="W337">
        <v>21.44</v>
      </c>
      <c r="X337">
        <v>7.82</v>
      </c>
      <c r="Y337">
        <v>16.399999999999999</v>
      </c>
      <c r="Z337">
        <v>1</v>
      </c>
      <c r="AA337">
        <v>0</v>
      </c>
      <c r="AB337">
        <v>3</v>
      </c>
      <c r="AC337">
        <v>0</v>
      </c>
      <c r="AD337">
        <f t="shared" ca="1" si="5"/>
        <v>5</v>
      </c>
      <c r="AE337">
        <f>AVERAGE(Table1[[#This Row],[Runs Conceded]]/Table1[[#This Row],[Wickets Taken]])</f>
        <v>21.444444444444443</v>
      </c>
    </row>
    <row r="338" spans="1:31" x14ac:dyDescent="0.3">
      <c r="A338" t="s">
        <v>250</v>
      </c>
      <c r="B338" t="s">
        <v>133</v>
      </c>
      <c r="C338" t="s">
        <v>28</v>
      </c>
      <c r="D338">
        <v>1</v>
      </c>
      <c r="E338" t="s">
        <v>37</v>
      </c>
      <c r="F338" t="s">
        <v>37</v>
      </c>
      <c r="G338" t="s">
        <v>37</v>
      </c>
      <c r="H338" t="s">
        <v>37</v>
      </c>
      <c r="I338" t="s">
        <v>37</v>
      </c>
      <c r="J338" t="s">
        <v>37</v>
      </c>
      <c r="K338" t="s">
        <v>37</v>
      </c>
      <c r="L338" t="s">
        <v>37</v>
      </c>
      <c r="M338" t="s">
        <v>37</v>
      </c>
      <c r="N338" t="s">
        <v>37</v>
      </c>
      <c r="O338" t="s">
        <v>37</v>
      </c>
      <c r="P338" t="s">
        <v>37</v>
      </c>
      <c r="Q338" t="s">
        <v>37</v>
      </c>
      <c r="R338" t="s">
        <v>37</v>
      </c>
      <c r="S338" t="s">
        <v>37</v>
      </c>
      <c r="T338" t="s">
        <v>37</v>
      </c>
      <c r="U338" t="s">
        <v>37</v>
      </c>
      <c r="V338" t="s">
        <v>37</v>
      </c>
      <c r="W338" t="s">
        <v>37</v>
      </c>
      <c r="X338" t="s">
        <v>37</v>
      </c>
      <c r="Y338" t="s">
        <v>37</v>
      </c>
      <c r="Z338" t="s">
        <v>37</v>
      </c>
      <c r="AA338" t="s">
        <v>37</v>
      </c>
      <c r="AB338">
        <v>1</v>
      </c>
      <c r="AC338">
        <v>0</v>
      </c>
      <c r="AD338">
        <f t="shared" ca="1" si="5"/>
        <v>16</v>
      </c>
      <c r="AE338" t="e">
        <f>AVERAGE(Table1[[#This Row],[Runs Conceded]]/Table1[[#This Row],[Wickets Taken]])</f>
        <v>#VALUE!</v>
      </c>
    </row>
    <row r="339" spans="1:31" x14ac:dyDescent="0.3">
      <c r="A339" t="s">
        <v>250</v>
      </c>
      <c r="B339" t="s">
        <v>133</v>
      </c>
      <c r="C339" t="s">
        <v>30</v>
      </c>
      <c r="D339">
        <v>11</v>
      </c>
      <c r="E339">
        <v>10</v>
      </c>
      <c r="F339">
        <v>0</v>
      </c>
      <c r="G339">
        <v>188</v>
      </c>
      <c r="H339">
        <v>52</v>
      </c>
      <c r="I339">
        <v>18.8</v>
      </c>
      <c r="J339">
        <v>177</v>
      </c>
      <c r="K339">
        <v>106.21</v>
      </c>
      <c r="L339">
        <v>0</v>
      </c>
      <c r="M339">
        <v>1</v>
      </c>
      <c r="N339">
        <v>2</v>
      </c>
      <c r="O339">
        <v>21</v>
      </c>
      <c r="P339">
        <v>4</v>
      </c>
      <c r="Q339" t="s">
        <v>37</v>
      </c>
      <c r="R339" t="s">
        <v>37</v>
      </c>
      <c r="S339" t="s">
        <v>37</v>
      </c>
      <c r="T339" t="s">
        <v>37</v>
      </c>
      <c r="U339" t="s">
        <v>37</v>
      </c>
      <c r="V339" t="s">
        <v>37</v>
      </c>
      <c r="W339" t="s">
        <v>37</v>
      </c>
      <c r="X339" t="s">
        <v>37</v>
      </c>
      <c r="Y339" t="s">
        <v>37</v>
      </c>
      <c r="Z339" t="s">
        <v>37</v>
      </c>
      <c r="AA339" t="s">
        <v>37</v>
      </c>
      <c r="AB339">
        <v>6</v>
      </c>
      <c r="AC339">
        <v>0</v>
      </c>
      <c r="AD339">
        <f t="shared" ca="1" si="5"/>
        <v>18</v>
      </c>
      <c r="AE339" t="e">
        <f>AVERAGE(Table1[[#This Row],[Runs Conceded]]/Table1[[#This Row],[Wickets Taken]])</f>
        <v>#VALUE!</v>
      </c>
    </row>
    <row r="340" spans="1:31" x14ac:dyDescent="0.3">
      <c r="A340" t="s">
        <v>250</v>
      </c>
      <c r="B340" t="s">
        <v>133</v>
      </c>
      <c r="C340" t="s">
        <v>32</v>
      </c>
      <c r="D340">
        <v>14</v>
      </c>
      <c r="E340">
        <v>13</v>
      </c>
      <c r="F340">
        <v>3</v>
      </c>
      <c r="G340">
        <v>252</v>
      </c>
      <c r="H340" t="s">
        <v>272</v>
      </c>
      <c r="I340">
        <v>25.2</v>
      </c>
      <c r="J340">
        <v>186</v>
      </c>
      <c r="K340">
        <v>135.47999999999999</v>
      </c>
      <c r="L340">
        <v>0</v>
      </c>
      <c r="M340">
        <v>0</v>
      </c>
      <c r="N340">
        <v>0</v>
      </c>
      <c r="O340">
        <v>16</v>
      </c>
      <c r="P340">
        <v>11</v>
      </c>
      <c r="Q340" t="s">
        <v>37</v>
      </c>
      <c r="R340" t="s">
        <v>37</v>
      </c>
      <c r="S340" t="s">
        <v>37</v>
      </c>
      <c r="T340" t="s">
        <v>37</v>
      </c>
      <c r="U340" t="s">
        <v>37</v>
      </c>
      <c r="V340" t="s">
        <v>37</v>
      </c>
      <c r="W340" t="s">
        <v>37</v>
      </c>
      <c r="X340" t="s">
        <v>37</v>
      </c>
      <c r="Y340" t="s">
        <v>37</v>
      </c>
      <c r="Z340" t="s">
        <v>37</v>
      </c>
      <c r="AA340" t="s">
        <v>37</v>
      </c>
      <c r="AB340">
        <v>4</v>
      </c>
      <c r="AC340">
        <v>0</v>
      </c>
      <c r="AD340">
        <f t="shared" ca="1" si="5"/>
        <v>10</v>
      </c>
      <c r="AE340" t="e">
        <f>AVERAGE(Table1[[#This Row],[Runs Conceded]]/Table1[[#This Row],[Wickets Taken]])</f>
        <v>#VALUE!</v>
      </c>
    </row>
    <row r="341" spans="1:31" x14ac:dyDescent="0.3">
      <c r="A341" t="s">
        <v>250</v>
      </c>
      <c r="B341" t="s">
        <v>273</v>
      </c>
      <c r="C341" t="s">
        <v>28</v>
      </c>
      <c r="D341">
        <v>1</v>
      </c>
      <c r="E341" t="s">
        <v>37</v>
      </c>
      <c r="F341" t="s">
        <v>37</v>
      </c>
      <c r="G341" t="s">
        <v>37</v>
      </c>
      <c r="H341" t="s">
        <v>37</v>
      </c>
      <c r="I341" t="s">
        <v>37</v>
      </c>
      <c r="J341" t="s">
        <v>37</v>
      </c>
      <c r="K341" t="s">
        <v>37</v>
      </c>
      <c r="L341" t="s">
        <v>37</v>
      </c>
      <c r="M341" t="s">
        <v>37</v>
      </c>
      <c r="N341" t="s">
        <v>37</v>
      </c>
      <c r="O341" t="s">
        <v>37</v>
      </c>
      <c r="P341" t="s">
        <v>37</v>
      </c>
      <c r="Q341">
        <v>1</v>
      </c>
      <c r="R341">
        <v>4</v>
      </c>
      <c r="S341">
        <v>0</v>
      </c>
      <c r="T341">
        <v>43</v>
      </c>
      <c r="U341">
        <v>1</v>
      </c>
      <c r="V341" s="1">
        <v>15707</v>
      </c>
      <c r="W341">
        <v>43</v>
      </c>
      <c r="X341">
        <v>10.75</v>
      </c>
      <c r="Y341">
        <v>24</v>
      </c>
      <c r="Z341">
        <v>0</v>
      </c>
      <c r="AA341">
        <v>0</v>
      </c>
      <c r="AB341">
        <v>1</v>
      </c>
      <c r="AC341">
        <v>0</v>
      </c>
      <c r="AD341">
        <f t="shared" ca="1" si="5"/>
        <v>3</v>
      </c>
      <c r="AE341">
        <f>AVERAGE(Table1[[#This Row],[Runs Conceded]]/Table1[[#This Row],[Wickets Taken]])</f>
        <v>43</v>
      </c>
    </row>
    <row r="342" spans="1:31" x14ac:dyDescent="0.3">
      <c r="A342" t="s">
        <v>250</v>
      </c>
      <c r="B342" t="s">
        <v>273</v>
      </c>
      <c r="C342" t="s">
        <v>30</v>
      </c>
      <c r="D342">
        <v>4</v>
      </c>
      <c r="E342">
        <v>3</v>
      </c>
      <c r="F342">
        <v>1</v>
      </c>
      <c r="G342">
        <v>7</v>
      </c>
      <c r="H342">
        <v>5</v>
      </c>
      <c r="I342">
        <v>3.5</v>
      </c>
      <c r="J342">
        <v>12</v>
      </c>
      <c r="K342">
        <v>58.33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4</v>
      </c>
      <c r="R342">
        <v>14</v>
      </c>
      <c r="S342">
        <v>0</v>
      </c>
      <c r="T342">
        <v>134</v>
      </c>
      <c r="U342">
        <v>3</v>
      </c>
      <c r="V342" s="1">
        <v>46419</v>
      </c>
      <c r="W342">
        <v>44.66</v>
      </c>
      <c r="X342">
        <v>9.57</v>
      </c>
      <c r="Y342">
        <v>28</v>
      </c>
      <c r="Z342">
        <v>0</v>
      </c>
      <c r="AA342">
        <v>0</v>
      </c>
      <c r="AB342">
        <v>4</v>
      </c>
      <c r="AC342">
        <v>0</v>
      </c>
      <c r="AD342">
        <f t="shared" ca="1" si="5"/>
        <v>8</v>
      </c>
      <c r="AE342">
        <f>AVERAGE(Table1[[#This Row],[Runs Conceded]]/Table1[[#This Row],[Wickets Taken]])</f>
        <v>44.666666666666664</v>
      </c>
    </row>
    <row r="343" spans="1:31" x14ac:dyDescent="0.3">
      <c r="A343" t="s">
        <v>250</v>
      </c>
      <c r="B343" t="s">
        <v>274</v>
      </c>
      <c r="C343" t="s">
        <v>28</v>
      </c>
      <c r="D343">
        <v>4</v>
      </c>
      <c r="E343" t="s">
        <v>37</v>
      </c>
      <c r="F343" t="s">
        <v>37</v>
      </c>
      <c r="G343" t="s">
        <v>37</v>
      </c>
      <c r="H343" t="s">
        <v>37</v>
      </c>
      <c r="I343" t="s">
        <v>37</v>
      </c>
      <c r="J343" t="s">
        <v>37</v>
      </c>
      <c r="K343" t="s">
        <v>37</v>
      </c>
      <c r="L343" t="s">
        <v>37</v>
      </c>
      <c r="M343" t="s">
        <v>37</v>
      </c>
      <c r="N343" t="s">
        <v>37</v>
      </c>
      <c r="O343" t="s">
        <v>37</v>
      </c>
      <c r="P343" t="s">
        <v>37</v>
      </c>
      <c r="Q343">
        <v>4</v>
      </c>
      <c r="R343">
        <v>16</v>
      </c>
      <c r="S343">
        <v>0</v>
      </c>
      <c r="T343">
        <v>147</v>
      </c>
      <c r="U343">
        <v>3</v>
      </c>
      <c r="V343" s="1">
        <v>44197</v>
      </c>
      <c r="W343">
        <v>49</v>
      </c>
      <c r="X343">
        <v>9.18</v>
      </c>
      <c r="Y343">
        <v>32</v>
      </c>
      <c r="Z343">
        <v>0</v>
      </c>
      <c r="AA343">
        <v>0</v>
      </c>
      <c r="AB343">
        <v>1</v>
      </c>
      <c r="AC343">
        <v>0</v>
      </c>
      <c r="AD343">
        <f t="shared" ca="1" si="5"/>
        <v>9</v>
      </c>
      <c r="AE343">
        <f>AVERAGE(Table1[[#This Row],[Runs Conceded]]/Table1[[#This Row],[Wickets Taken]])</f>
        <v>49</v>
      </c>
    </row>
    <row r="344" spans="1:31" x14ac:dyDescent="0.3">
      <c r="A344" t="s">
        <v>250</v>
      </c>
      <c r="B344" t="s">
        <v>275</v>
      </c>
      <c r="C344" t="s">
        <v>32</v>
      </c>
      <c r="D344">
        <v>6</v>
      </c>
      <c r="E344">
        <v>6</v>
      </c>
      <c r="F344">
        <v>0</v>
      </c>
      <c r="G344">
        <v>127</v>
      </c>
      <c r="H344">
        <v>43</v>
      </c>
      <c r="I344">
        <v>21.16</v>
      </c>
      <c r="J344">
        <v>88</v>
      </c>
      <c r="K344">
        <v>144.31</v>
      </c>
      <c r="L344">
        <v>0</v>
      </c>
      <c r="M344">
        <v>0</v>
      </c>
      <c r="N344">
        <v>1</v>
      </c>
      <c r="O344">
        <v>16</v>
      </c>
      <c r="P344">
        <v>6</v>
      </c>
      <c r="Q344" t="s">
        <v>37</v>
      </c>
      <c r="R344" t="s">
        <v>37</v>
      </c>
      <c r="S344" t="s">
        <v>37</v>
      </c>
      <c r="T344" t="s">
        <v>37</v>
      </c>
      <c r="U344" t="s">
        <v>37</v>
      </c>
      <c r="V344" t="s">
        <v>37</v>
      </c>
      <c r="W344" t="s">
        <v>37</v>
      </c>
      <c r="X344" t="s">
        <v>37</v>
      </c>
      <c r="Y344" t="s">
        <v>37</v>
      </c>
      <c r="Z344" t="s">
        <v>37</v>
      </c>
      <c r="AA344" t="s">
        <v>37</v>
      </c>
      <c r="AB344">
        <v>1</v>
      </c>
      <c r="AC344">
        <v>0</v>
      </c>
      <c r="AD344">
        <f t="shared" ca="1" si="5"/>
        <v>6</v>
      </c>
      <c r="AE344" t="e">
        <f>AVERAGE(Table1[[#This Row],[Runs Conceded]]/Table1[[#This Row],[Wickets Taken]])</f>
        <v>#VALUE!</v>
      </c>
    </row>
    <row r="345" spans="1:31" x14ac:dyDescent="0.3">
      <c r="A345" t="s">
        <v>250</v>
      </c>
      <c r="B345" t="s">
        <v>139</v>
      </c>
      <c r="C345" t="s">
        <v>92</v>
      </c>
      <c r="D345">
        <v>8</v>
      </c>
      <c r="E345">
        <v>5</v>
      </c>
      <c r="F345">
        <v>0</v>
      </c>
      <c r="G345">
        <v>61</v>
      </c>
      <c r="H345">
        <v>24</v>
      </c>
      <c r="I345">
        <v>12.2</v>
      </c>
      <c r="J345">
        <v>57</v>
      </c>
      <c r="K345">
        <v>107.01</v>
      </c>
      <c r="L345">
        <v>0</v>
      </c>
      <c r="M345">
        <v>0</v>
      </c>
      <c r="N345">
        <v>0</v>
      </c>
      <c r="O345">
        <v>5</v>
      </c>
      <c r="P345">
        <v>2</v>
      </c>
      <c r="Q345" t="s">
        <v>37</v>
      </c>
      <c r="R345" t="s">
        <v>37</v>
      </c>
      <c r="S345" t="s">
        <v>37</v>
      </c>
      <c r="T345" t="s">
        <v>37</v>
      </c>
      <c r="U345" t="s">
        <v>37</v>
      </c>
      <c r="V345" t="s">
        <v>37</v>
      </c>
      <c r="W345" t="s">
        <v>37</v>
      </c>
      <c r="X345" t="s">
        <v>37</v>
      </c>
      <c r="Y345" t="s">
        <v>37</v>
      </c>
      <c r="Z345" t="s">
        <v>37</v>
      </c>
      <c r="AA345" t="s">
        <v>37</v>
      </c>
      <c r="AB345">
        <v>1</v>
      </c>
      <c r="AC345">
        <v>0</v>
      </c>
      <c r="AD345">
        <f t="shared" ca="1" si="5"/>
        <v>16</v>
      </c>
      <c r="AE345" t="e">
        <f>AVERAGE(Table1[[#This Row],[Runs Conceded]]/Table1[[#This Row],[Wickets Taken]])</f>
        <v>#VALUE!</v>
      </c>
    </row>
    <row r="346" spans="1:31" x14ac:dyDescent="0.3">
      <c r="A346" t="s">
        <v>250</v>
      </c>
      <c r="B346" t="s">
        <v>276</v>
      </c>
      <c r="C346" t="s">
        <v>92</v>
      </c>
      <c r="D346">
        <v>2</v>
      </c>
      <c r="E346">
        <v>1</v>
      </c>
      <c r="F346">
        <v>1</v>
      </c>
      <c r="G346">
        <v>0</v>
      </c>
      <c r="H346" t="s">
        <v>148</v>
      </c>
      <c r="I346" t="s">
        <v>37</v>
      </c>
      <c r="J346">
        <v>0</v>
      </c>
      <c r="K346" t="s">
        <v>37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2</v>
      </c>
      <c r="R346">
        <v>8</v>
      </c>
      <c r="S346">
        <v>0</v>
      </c>
      <c r="T346">
        <v>69</v>
      </c>
      <c r="U346">
        <v>4</v>
      </c>
      <c r="V346" s="1">
        <v>47150</v>
      </c>
      <c r="W346">
        <v>17.25</v>
      </c>
      <c r="X346">
        <v>8.6199999999999992</v>
      </c>
      <c r="Y346">
        <v>12</v>
      </c>
      <c r="Z346">
        <v>0</v>
      </c>
      <c r="AA346">
        <v>0</v>
      </c>
      <c r="AB346">
        <v>0</v>
      </c>
      <c r="AC346">
        <v>0</v>
      </c>
      <c r="AD346">
        <f t="shared" ca="1" si="5"/>
        <v>7</v>
      </c>
      <c r="AE346">
        <f>AVERAGE(Table1[[#This Row],[Runs Conceded]]/Table1[[#This Row],[Wickets Taken]])</f>
        <v>17.25</v>
      </c>
    </row>
    <row r="347" spans="1:31" x14ac:dyDescent="0.3">
      <c r="A347" t="s">
        <v>250</v>
      </c>
      <c r="B347" t="s">
        <v>142</v>
      </c>
      <c r="C347" t="s">
        <v>32</v>
      </c>
      <c r="D347">
        <v>2</v>
      </c>
      <c r="E347">
        <v>1</v>
      </c>
      <c r="F347">
        <v>0</v>
      </c>
      <c r="G347">
        <v>1</v>
      </c>
      <c r="H347">
        <v>1</v>
      </c>
      <c r="I347">
        <v>1</v>
      </c>
      <c r="J347">
        <v>2</v>
      </c>
      <c r="K347">
        <v>50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7</v>
      </c>
      <c r="S347">
        <v>0</v>
      </c>
      <c r="T347">
        <v>53</v>
      </c>
      <c r="U347">
        <v>3</v>
      </c>
      <c r="V347" s="1">
        <v>13181</v>
      </c>
      <c r="W347">
        <v>17.66</v>
      </c>
      <c r="X347">
        <v>7.57</v>
      </c>
      <c r="Y347">
        <v>14</v>
      </c>
      <c r="Z347">
        <v>0</v>
      </c>
      <c r="AA347">
        <v>0</v>
      </c>
      <c r="AB347">
        <v>0</v>
      </c>
      <c r="AC347">
        <v>0</v>
      </c>
      <c r="AD347">
        <f t="shared" ca="1" si="5"/>
        <v>17</v>
      </c>
      <c r="AE347">
        <f>AVERAGE(Table1[[#This Row],[Runs Conceded]]/Table1[[#This Row],[Wickets Taken]])</f>
        <v>17.666666666666668</v>
      </c>
    </row>
    <row r="348" spans="1:31" x14ac:dyDescent="0.3">
      <c r="A348" t="s">
        <v>250</v>
      </c>
      <c r="B348" t="s">
        <v>70</v>
      </c>
      <c r="C348" t="s">
        <v>32</v>
      </c>
      <c r="D348">
        <v>3</v>
      </c>
      <c r="E348">
        <v>3</v>
      </c>
      <c r="F348">
        <v>0</v>
      </c>
      <c r="G348">
        <v>17</v>
      </c>
      <c r="H348">
        <v>15</v>
      </c>
      <c r="I348">
        <v>5.66</v>
      </c>
      <c r="J348">
        <v>22</v>
      </c>
      <c r="K348">
        <v>77.27</v>
      </c>
      <c r="L348">
        <v>0</v>
      </c>
      <c r="M348">
        <v>0</v>
      </c>
      <c r="N348">
        <v>1</v>
      </c>
      <c r="O348">
        <v>0</v>
      </c>
      <c r="P348">
        <v>1</v>
      </c>
      <c r="Q348">
        <v>3</v>
      </c>
      <c r="R348">
        <v>8.4</v>
      </c>
      <c r="S348">
        <v>0</v>
      </c>
      <c r="T348">
        <v>115</v>
      </c>
      <c r="U348">
        <v>3</v>
      </c>
      <c r="V348" s="1">
        <v>17199</v>
      </c>
      <c r="W348">
        <v>38.33</v>
      </c>
      <c r="X348">
        <v>13.26</v>
      </c>
      <c r="Y348">
        <v>17.3</v>
      </c>
      <c r="Z348">
        <v>0</v>
      </c>
      <c r="AA348">
        <v>0</v>
      </c>
      <c r="AB348">
        <v>0</v>
      </c>
      <c r="AC348">
        <v>0</v>
      </c>
      <c r="AD348">
        <f t="shared" ca="1" si="5"/>
        <v>4</v>
      </c>
      <c r="AE348">
        <f>AVERAGE(Table1[[#This Row],[Runs Conceded]]/Table1[[#This Row],[Wickets Taken]])</f>
        <v>38.333333333333336</v>
      </c>
    </row>
    <row r="349" spans="1:31" x14ac:dyDescent="0.3">
      <c r="A349" t="s">
        <v>250</v>
      </c>
      <c r="B349" t="s">
        <v>196</v>
      </c>
      <c r="C349" t="s">
        <v>32</v>
      </c>
      <c r="D349">
        <v>9</v>
      </c>
      <c r="E349">
        <v>8</v>
      </c>
      <c r="F349">
        <v>3</v>
      </c>
      <c r="G349">
        <v>131</v>
      </c>
      <c r="H349">
        <v>40</v>
      </c>
      <c r="I349">
        <v>26.2</v>
      </c>
      <c r="J349">
        <v>84</v>
      </c>
      <c r="K349">
        <v>155.94999999999999</v>
      </c>
      <c r="L349">
        <v>0</v>
      </c>
      <c r="M349">
        <v>0</v>
      </c>
      <c r="N349">
        <v>0</v>
      </c>
      <c r="O349">
        <v>4</v>
      </c>
      <c r="P349">
        <v>10</v>
      </c>
      <c r="Q349">
        <v>7</v>
      </c>
      <c r="R349">
        <v>15</v>
      </c>
      <c r="S349">
        <v>0</v>
      </c>
      <c r="T349">
        <v>129</v>
      </c>
      <c r="U349">
        <v>2</v>
      </c>
      <c r="V349" s="2">
        <v>44044</v>
      </c>
      <c r="W349">
        <v>64.5</v>
      </c>
      <c r="X349">
        <v>8.6</v>
      </c>
      <c r="Y349">
        <v>45</v>
      </c>
      <c r="Z349">
        <v>0</v>
      </c>
      <c r="AA349">
        <v>0</v>
      </c>
      <c r="AB349">
        <v>3</v>
      </c>
      <c r="AC349">
        <v>0</v>
      </c>
      <c r="AD349">
        <f t="shared" ca="1" si="5"/>
        <v>6</v>
      </c>
      <c r="AE349">
        <f>AVERAGE(Table1[[#This Row],[Runs Conceded]]/Table1[[#This Row],[Wickets Taken]])</f>
        <v>64.5</v>
      </c>
    </row>
    <row r="350" spans="1:31" x14ac:dyDescent="0.3">
      <c r="A350" t="s">
        <v>250</v>
      </c>
      <c r="B350" t="s">
        <v>196</v>
      </c>
      <c r="C350" t="s">
        <v>92</v>
      </c>
      <c r="D350">
        <v>4</v>
      </c>
      <c r="E350">
        <v>4</v>
      </c>
      <c r="F350">
        <v>1</v>
      </c>
      <c r="G350">
        <v>46</v>
      </c>
      <c r="H350">
        <v>37</v>
      </c>
      <c r="I350">
        <v>15.33</v>
      </c>
      <c r="J350">
        <v>49</v>
      </c>
      <c r="K350">
        <v>93.87</v>
      </c>
      <c r="L350">
        <v>0</v>
      </c>
      <c r="M350">
        <v>0</v>
      </c>
      <c r="N350">
        <v>0</v>
      </c>
      <c r="O350">
        <v>4</v>
      </c>
      <c r="P350">
        <v>2</v>
      </c>
      <c r="Q350">
        <v>3</v>
      </c>
      <c r="R350">
        <v>5</v>
      </c>
      <c r="S350">
        <v>0</v>
      </c>
      <c r="T350">
        <v>55</v>
      </c>
      <c r="U350">
        <v>0</v>
      </c>
      <c r="V350" t="s">
        <v>37</v>
      </c>
      <c r="W350" t="s">
        <v>37</v>
      </c>
      <c r="X350">
        <v>11</v>
      </c>
      <c r="Y350" t="s">
        <v>37</v>
      </c>
      <c r="Z350">
        <v>0</v>
      </c>
      <c r="AA350">
        <v>0</v>
      </c>
      <c r="AB350">
        <v>1</v>
      </c>
      <c r="AC350">
        <v>0</v>
      </c>
      <c r="AD350">
        <f t="shared" ca="1" si="5"/>
        <v>4</v>
      </c>
      <c r="AE350" t="e">
        <f>AVERAGE(Table1[[#This Row],[Runs Conceded]]/Table1[[#This Row],[Wickets Taken]])</f>
        <v>#DIV/0!</v>
      </c>
    </row>
    <row r="351" spans="1:31" x14ac:dyDescent="0.3">
      <c r="A351" t="s">
        <v>250</v>
      </c>
      <c r="B351" t="s">
        <v>197</v>
      </c>
      <c r="C351" t="s">
        <v>32</v>
      </c>
      <c r="D351">
        <v>5</v>
      </c>
      <c r="E351">
        <v>4</v>
      </c>
      <c r="F351">
        <v>2</v>
      </c>
      <c r="G351">
        <v>17</v>
      </c>
      <c r="H351">
        <v>11</v>
      </c>
      <c r="I351">
        <v>8.5</v>
      </c>
      <c r="J351">
        <v>19</v>
      </c>
      <c r="K351">
        <v>89.47</v>
      </c>
      <c r="L351">
        <v>0</v>
      </c>
      <c r="M351">
        <v>0</v>
      </c>
      <c r="N351">
        <v>0</v>
      </c>
      <c r="O351">
        <v>1</v>
      </c>
      <c r="P351">
        <v>1</v>
      </c>
      <c r="Q351">
        <v>5</v>
      </c>
      <c r="R351">
        <v>18.2</v>
      </c>
      <c r="S351">
        <v>0</v>
      </c>
      <c r="T351">
        <v>190</v>
      </c>
      <c r="U351">
        <v>8</v>
      </c>
      <c r="V351" s="1">
        <v>13210</v>
      </c>
      <c r="W351">
        <v>23.75</v>
      </c>
      <c r="X351">
        <v>10.36</v>
      </c>
      <c r="Y351">
        <v>13.7</v>
      </c>
      <c r="Z351">
        <v>0</v>
      </c>
      <c r="AA351">
        <v>0</v>
      </c>
      <c r="AB351">
        <v>1</v>
      </c>
      <c r="AC351">
        <v>0</v>
      </c>
      <c r="AD351">
        <f t="shared" ca="1" si="5"/>
        <v>7</v>
      </c>
      <c r="AE351">
        <f>AVERAGE(Table1[[#This Row],[Runs Conceded]]/Table1[[#This Row],[Wickets Taken]])</f>
        <v>23.75</v>
      </c>
    </row>
    <row r="352" spans="1:31" x14ac:dyDescent="0.3">
      <c r="A352" t="s">
        <v>250</v>
      </c>
      <c r="B352" t="s">
        <v>277</v>
      </c>
      <c r="C352" t="s">
        <v>30</v>
      </c>
      <c r="D352">
        <v>5</v>
      </c>
      <c r="E352">
        <v>3</v>
      </c>
      <c r="F352">
        <v>2</v>
      </c>
      <c r="G352">
        <v>25</v>
      </c>
      <c r="H352" t="s">
        <v>144</v>
      </c>
      <c r="I352">
        <v>25</v>
      </c>
      <c r="J352">
        <v>20</v>
      </c>
      <c r="K352">
        <v>125</v>
      </c>
      <c r="L352">
        <v>0</v>
      </c>
      <c r="M352">
        <v>0</v>
      </c>
      <c r="N352">
        <v>0</v>
      </c>
      <c r="O352">
        <v>1</v>
      </c>
      <c r="P352">
        <v>1</v>
      </c>
      <c r="Q352">
        <v>5</v>
      </c>
      <c r="R352">
        <v>16.5</v>
      </c>
      <c r="S352">
        <v>2</v>
      </c>
      <c r="T352">
        <v>144</v>
      </c>
      <c r="U352">
        <v>5</v>
      </c>
      <c r="V352" s="1">
        <v>42767</v>
      </c>
      <c r="W352">
        <v>28.8</v>
      </c>
      <c r="X352">
        <v>8.5500000000000007</v>
      </c>
      <c r="Y352">
        <v>20.2</v>
      </c>
      <c r="Z352">
        <v>0</v>
      </c>
      <c r="AA352">
        <v>0</v>
      </c>
      <c r="AB352">
        <v>0</v>
      </c>
      <c r="AC352">
        <v>0</v>
      </c>
      <c r="AD352">
        <f t="shared" ca="1" si="5"/>
        <v>16</v>
      </c>
      <c r="AE352">
        <f>AVERAGE(Table1[[#This Row],[Runs Conceded]]/Table1[[#This Row],[Wickets Taken]])</f>
        <v>28.8</v>
      </c>
    </row>
    <row r="353" spans="1:31" x14ac:dyDescent="0.3">
      <c r="A353" t="s">
        <v>250</v>
      </c>
      <c r="B353" t="s">
        <v>278</v>
      </c>
      <c r="C353" t="s">
        <v>30</v>
      </c>
      <c r="D353">
        <v>3</v>
      </c>
      <c r="E353">
        <v>3</v>
      </c>
      <c r="F353">
        <v>0</v>
      </c>
      <c r="G353">
        <v>19</v>
      </c>
      <c r="H353">
        <v>9</v>
      </c>
      <c r="I353">
        <v>6.33</v>
      </c>
      <c r="J353">
        <v>26</v>
      </c>
      <c r="K353">
        <v>73.069999999999993</v>
      </c>
      <c r="L353">
        <v>0</v>
      </c>
      <c r="M353">
        <v>0</v>
      </c>
      <c r="N353">
        <v>0</v>
      </c>
      <c r="O353">
        <v>1</v>
      </c>
      <c r="P353">
        <v>1</v>
      </c>
      <c r="Q353" t="s">
        <v>37</v>
      </c>
      <c r="R353" t="s">
        <v>37</v>
      </c>
      <c r="S353" t="s">
        <v>37</v>
      </c>
      <c r="T353" t="s">
        <v>37</v>
      </c>
      <c r="U353" t="s">
        <v>37</v>
      </c>
      <c r="V353" t="s">
        <v>37</v>
      </c>
      <c r="W353" t="s">
        <v>37</v>
      </c>
      <c r="X353" t="s">
        <v>37</v>
      </c>
      <c r="Y353" t="s">
        <v>37</v>
      </c>
      <c r="Z353" t="s">
        <v>37</v>
      </c>
      <c r="AA353" t="s">
        <v>37</v>
      </c>
      <c r="AB353">
        <v>0</v>
      </c>
      <c r="AC353">
        <v>2</v>
      </c>
      <c r="AD353">
        <f t="shared" ca="1" si="5"/>
        <v>9</v>
      </c>
      <c r="AE353" t="e">
        <f>AVERAGE(Table1[[#This Row],[Runs Conceded]]/Table1[[#This Row],[Wickets Taken]])</f>
        <v>#VALUE!</v>
      </c>
    </row>
    <row r="354" spans="1:31" x14ac:dyDescent="0.3">
      <c r="A354" t="s">
        <v>250</v>
      </c>
      <c r="B354" t="s">
        <v>279</v>
      </c>
      <c r="C354" t="s">
        <v>30</v>
      </c>
      <c r="D354">
        <v>5</v>
      </c>
      <c r="E354">
        <v>3</v>
      </c>
      <c r="F354">
        <v>0</v>
      </c>
      <c r="G354">
        <v>8</v>
      </c>
      <c r="H354">
        <v>6</v>
      </c>
      <c r="I354">
        <v>2.66</v>
      </c>
      <c r="J354">
        <v>11</v>
      </c>
      <c r="K354">
        <v>72.72</v>
      </c>
      <c r="L354">
        <v>0</v>
      </c>
      <c r="M354">
        <v>0</v>
      </c>
      <c r="N354">
        <v>1</v>
      </c>
      <c r="O354">
        <v>0</v>
      </c>
      <c r="P354">
        <v>1</v>
      </c>
      <c r="Q354">
        <v>5</v>
      </c>
      <c r="R354">
        <v>17.5</v>
      </c>
      <c r="S354">
        <v>0</v>
      </c>
      <c r="T354">
        <v>153</v>
      </c>
      <c r="U354">
        <v>5</v>
      </c>
      <c r="V354" s="1">
        <v>11355</v>
      </c>
      <c r="W354">
        <v>30.6</v>
      </c>
      <c r="X354">
        <v>8.57</v>
      </c>
      <c r="Y354">
        <v>21.4</v>
      </c>
      <c r="Z354">
        <v>0</v>
      </c>
      <c r="AA354">
        <v>0</v>
      </c>
      <c r="AB354">
        <v>1</v>
      </c>
      <c r="AC354">
        <v>0</v>
      </c>
      <c r="AD354">
        <f t="shared" ca="1" si="5"/>
        <v>17</v>
      </c>
      <c r="AE354">
        <f>AVERAGE(Table1[[#This Row],[Runs Conceded]]/Table1[[#This Row],[Wickets Taken]])</f>
        <v>30.6</v>
      </c>
    </row>
    <row r="355" spans="1:31" x14ac:dyDescent="0.3">
      <c r="A355" t="s">
        <v>250</v>
      </c>
      <c r="B355" t="s">
        <v>280</v>
      </c>
      <c r="C355" t="s">
        <v>30</v>
      </c>
      <c r="D355">
        <v>7</v>
      </c>
      <c r="E355">
        <v>5</v>
      </c>
      <c r="F355">
        <v>0</v>
      </c>
      <c r="G355">
        <v>13</v>
      </c>
      <c r="H355">
        <v>8</v>
      </c>
      <c r="I355">
        <v>2.6</v>
      </c>
      <c r="J355">
        <v>23</v>
      </c>
      <c r="K355">
        <v>56.52</v>
      </c>
      <c r="L355">
        <v>0</v>
      </c>
      <c r="M355">
        <v>0</v>
      </c>
      <c r="N355">
        <v>2</v>
      </c>
      <c r="O355">
        <v>0</v>
      </c>
      <c r="P355">
        <v>0</v>
      </c>
      <c r="Q355">
        <v>7</v>
      </c>
      <c r="R355">
        <v>25</v>
      </c>
      <c r="S355">
        <v>1</v>
      </c>
      <c r="T355">
        <v>188</v>
      </c>
      <c r="U355">
        <v>9</v>
      </c>
      <c r="V355" s="2">
        <v>44078</v>
      </c>
      <c r="W355">
        <v>20.88</v>
      </c>
      <c r="X355">
        <v>7.52</v>
      </c>
      <c r="Y355">
        <v>16.600000000000001</v>
      </c>
      <c r="Z355">
        <v>1</v>
      </c>
      <c r="AA355">
        <v>0</v>
      </c>
      <c r="AB355">
        <v>2</v>
      </c>
      <c r="AC355">
        <v>0</v>
      </c>
      <c r="AD355">
        <f t="shared" ca="1" si="5"/>
        <v>9</v>
      </c>
      <c r="AE355">
        <f>AVERAGE(Table1[[#This Row],[Runs Conceded]]/Table1[[#This Row],[Wickets Taken]])</f>
        <v>20.888888888888889</v>
      </c>
    </row>
    <row r="356" spans="1:31" x14ac:dyDescent="0.3">
      <c r="A356" t="s">
        <v>250</v>
      </c>
      <c r="B356" t="s">
        <v>79</v>
      </c>
      <c r="C356" t="s">
        <v>30</v>
      </c>
      <c r="D356">
        <v>1</v>
      </c>
      <c r="E356" t="s">
        <v>37</v>
      </c>
      <c r="F356" t="s">
        <v>37</v>
      </c>
      <c r="G356" t="s">
        <v>37</v>
      </c>
      <c r="H356" t="s">
        <v>37</v>
      </c>
      <c r="I356" t="s">
        <v>37</v>
      </c>
      <c r="J356" t="s">
        <v>37</v>
      </c>
      <c r="K356" t="s">
        <v>37</v>
      </c>
      <c r="L356" t="s">
        <v>37</v>
      </c>
      <c r="M356" t="s">
        <v>37</v>
      </c>
      <c r="N356" t="s">
        <v>37</v>
      </c>
      <c r="O356" t="s">
        <v>37</v>
      </c>
      <c r="P356" t="s">
        <v>37</v>
      </c>
      <c r="Q356">
        <v>1</v>
      </c>
      <c r="R356">
        <v>4</v>
      </c>
      <c r="S356">
        <v>0</v>
      </c>
      <c r="T356">
        <v>23</v>
      </c>
      <c r="U356">
        <v>1</v>
      </c>
      <c r="V356" s="1">
        <v>44927</v>
      </c>
      <c r="W356">
        <v>23</v>
      </c>
      <c r="X356">
        <v>5.75</v>
      </c>
      <c r="Y356">
        <v>24</v>
      </c>
      <c r="Z356">
        <v>0</v>
      </c>
      <c r="AA356">
        <v>0</v>
      </c>
      <c r="AB356">
        <v>0</v>
      </c>
      <c r="AC356">
        <v>0</v>
      </c>
      <c r="AD356">
        <f t="shared" ca="1" si="5"/>
        <v>7</v>
      </c>
      <c r="AE356">
        <f>AVERAGE(Table1[[#This Row],[Runs Conceded]]/Table1[[#This Row],[Wickets Taken]])</f>
        <v>23</v>
      </c>
    </row>
    <row r="357" spans="1:31" x14ac:dyDescent="0.3">
      <c r="A357" t="s">
        <v>250</v>
      </c>
      <c r="B357" t="s">
        <v>281</v>
      </c>
      <c r="C357" t="s">
        <v>30</v>
      </c>
      <c r="D357">
        <v>2</v>
      </c>
      <c r="E357" t="s">
        <v>37</v>
      </c>
      <c r="F357" t="s">
        <v>37</v>
      </c>
      <c r="G357" t="s">
        <v>37</v>
      </c>
      <c r="H357" t="s">
        <v>37</v>
      </c>
      <c r="I357" t="s">
        <v>37</v>
      </c>
      <c r="J357" t="s">
        <v>37</v>
      </c>
      <c r="K357" t="s">
        <v>37</v>
      </c>
      <c r="L357" t="s">
        <v>37</v>
      </c>
      <c r="M357" t="s">
        <v>37</v>
      </c>
      <c r="N357" t="s">
        <v>37</v>
      </c>
      <c r="O357" t="s">
        <v>37</v>
      </c>
      <c r="P357" t="s">
        <v>37</v>
      </c>
      <c r="Q357">
        <v>2</v>
      </c>
      <c r="R357">
        <v>8</v>
      </c>
      <c r="S357">
        <v>0</v>
      </c>
      <c r="T357">
        <v>70</v>
      </c>
      <c r="U357">
        <v>2</v>
      </c>
      <c r="V357" s="1">
        <v>47150</v>
      </c>
      <c r="W357">
        <v>35</v>
      </c>
      <c r="X357">
        <v>8.75</v>
      </c>
      <c r="Y357">
        <v>24</v>
      </c>
      <c r="Z357">
        <v>0</v>
      </c>
      <c r="AA357">
        <v>0</v>
      </c>
      <c r="AB357">
        <v>1</v>
      </c>
      <c r="AC357">
        <v>0</v>
      </c>
      <c r="AD357">
        <f t="shared" ca="1" si="5"/>
        <v>5</v>
      </c>
      <c r="AE357">
        <f>AVERAGE(Table1[[#This Row],[Runs Conceded]]/Table1[[#This Row],[Wickets Taken]])</f>
        <v>35</v>
      </c>
    </row>
    <row r="358" spans="1:31" x14ac:dyDescent="0.3">
      <c r="A358" t="s">
        <v>250</v>
      </c>
      <c r="B358" t="s">
        <v>282</v>
      </c>
      <c r="C358" t="s">
        <v>32</v>
      </c>
      <c r="D358">
        <v>11</v>
      </c>
      <c r="E358">
        <v>4</v>
      </c>
      <c r="F358">
        <v>2</v>
      </c>
      <c r="G358">
        <v>25</v>
      </c>
      <c r="H358">
        <v>14</v>
      </c>
      <c r="I358">
        <v>12.5</v>
      </c>
      <c r="J358">
        <v>22</v>
      </c>
      <c r="K358">
        <v>113.63</v>
      </c>
      <c r="L358">
        <v>0</v>
      </c>
      <c r="M358">
        <v>0</v>
      </c>
      <c r="N358">
        <v>0</v>
      </c>
      <c r="O358">
        <v>2</v>
      </c>
      <c r="P358">
        <v>1</v>
      </c>
      <c r="Q358">
        <v>11</v>
      </c>
      <c r="R358">
        <v>41</v>
      </c>
      <c r="S358">
        <v>0</v>
      </c>
      <c r="T358">
        <v>367</v>
      </c>
      <c r="U358">
        <v>11</v>
      </c>
      <c r="V358" s="1">
        <v>45717</v>
      </c>
      <c r="W358">
        <v>33.36</v>
      </c>
      <c r="X358">
        <v>8.9499999999999993</v>
      </c>
      <c r="Y358">
        <v>22.3</v>
      </c>
      <c r="Z358">
        <v>0</v>
      </c>
      <c r="AA358">
        <v>0</v>
      </c>
      <c r="AB358">
        <v>5</v>
      </c>
      <c r="AC358">
        <v>0</v>
      </c>
      <c r="AD358">
        <f t="shared" ca="1" si="5"/>
        <v>16</v>
      </c>
      <c r="AE358">
        <f>AVERAGE(Table1[[#This Row],[Runs Conceded]]/Table1[[#This Row],[Wickets Taken]])</f>
        <v>33.363636363636367</v>
      </c>
    </row>
    <row r="359" spans="1:31" x14ac:dyDescent="0.3">
      <c r="A359" t="s">
        <v>250</v>
      </c>
      <c r="B359" t="s">
        <v>282</v>
      </c>
      <c r="C359" t="s">
        <v>92</v>
      </c>
      <c r="D359">
        <v>9</v>
      </c>
      <c r="E359">
        <v>4</v>
      </c>
      <c r="F359">
        <v>3</v>
      </c>
      <c r="G359">
        <v>4</v>
      </c>
      <c r="H359" t="s">
        <v>235</v>
      </c>
      <c r="I359">
        <v>4</v>
      </c>
      <c r="J359">
        <v>14</v>
      </c>
      <c r="K359">
        <v>28.57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9</v>
      </c>
      <c r="R359">
        <v>28.1</v>
      </c>
      <c r="S359">
        <v>1</v>
      </c>
      <c r="T359">
        <v>269</v>
      </c>
      <c r="U359">
        <v>7</v>
      </c>
      <c r="V359" s="1">
        <v>13912</v>
      </c>
      <c r="W359">
        <v>38.42</v>
      </c>
      <c r="X359">
        <v>9.5500000000000007</v>
      </c>
      <c r="Y359">
        <v>24.1</v>
      </c>
      <c r="Z359">
        <v>0</v>
      </c>
      <c r="AA359">
        <v>0</v>
      </c>
      <c r="AB359">
        <v>2</v>
      </c>
      <c r="AC359">
        <v>0</v>
      </c>
      <c r="AD359">
        <f t="shared" ca="1" si="5"/>
        <v>9</v>
      </c>
      <c r="AE359">
        <f>AVERAGE(Table1[[#This Row],[Runs Conceded]]/Table1[[#This Row],[Wickets Taken]])</f>
        <v>38.428571428571431</v>
      </c>
    </row>
    <row r="360" spans="1:31" x14ac:dyDescent="0.3">
      <c r="A360" t="s">
        <v>250</v>
      </c>
      <c r="B360" t="s">
        <v>283</v>
      </c>
      <c r="C360" t="s">
        <v>32</v>
      </c>
      <c r="D360">
        <v>7</v>
      </c>
      <c r="E360">
        <v>6</v>
      </c>
      <c r="F360">
        <v>3</v>
      </c>
      <c r="G360">
        <v>65</v>
      </c>
      <c r="H360">
        <v>35</v>
      </c>
      <c r="I360">
        <v>21.66</v>
      </c>
      <c r="J360">
        <v>38</v>
      </c>
      <c r="K360">
        <v>171.05</v>
      </c>
      <c r="L360">
        <v>0</v>
      </c>
      <c r="M360">
        <v>0</v>
      </c>
      <c r="N360">
        <v>0</v>
      </c>
      <c r="O360">
        <v>5</v>
      </c>
      <c r="P360">
        <v>4</v>
      </c>
      <c r="Q360">
        <v>7</v>
      </c>
      <c r="R360">
        <v>20</v>
      </c>
      <c r="S360">
        <v>0</v>
      </c>
      <c r="T360">
        <v>192</v>
      </c>
      <c r="U360">
        <v>4</v>
      </c>
      <c r="V360" s="1">
        <v>44593</v>
      </c>
      <c r="W360">
        <v>48</v>
      </c>
      <c r="X360">
        <v>9.6</v>
      </c>
      <c r="Y360">
        <v>30</v>
      </c>
      <c r="Z360">
        <v>0</v>
      </c>
      <c r="AA360">
        <v>0</v>
      </c>
      <c r="AB360">
        <v>0</v>
      </c>
      <c r="AC360">
        <v>0</v>
      </c>
      <c r="AD360">
        <f t="shared" ca="1" si="5"/>
        <v>6</v>
      </c>
      <c r="AE360">
        <f>AVERAGE(Table1[[#This Row],[Runs Conceded]]/Table1[[#This Row],[Wickets Taken]])</f>
        <v>48</v>
      </c>
    </row>
    <row r="361" spans="1:31" x14ac:dyDescent="0.3">
      <c r="A361" t="s">
        <v>250</v>
      </c>
      <c r="B361" t="s">
        <v>283</v>
      </c>
      <c r="C361" t="s">
        <v>92</v>
      </c>
      <c r="D361">
        <v>3</v>
      </c>
      <c r="E361">
        <v>2</v>
      </c>
      <c r="F361">
        <v>0</v>
      </c>
      <c r="G361">
        <v>1</v>
      </c>
      <c r="H361">
        <v>1</v>
      </c>
      <c r="I361">
        <v>0.5</v>
      </c>
      <c r="J361">
        <v>3</v>
      </c>
      <c r="K361">
        <v>33.33</v>
      </c>
      <c r="L361">
        <v>0</v>
      </c>
      <c r="M361">
        <v>0</v>
      </c>
      <c r="N361">
        <v>1</v>
      </c>
      <c r="O361">
        <v>0</v>
      </c>
      <c r="P361">
        <v>0</v>
      </c>
      <c r="Q361">
        <v>3</v>
      </c>
      <c r="R361">
        <v>9</v>
      </c>
      <c r="S361">
        <v>0</v>
      </c>
      <c r="T361">
        <v>74</v>
      </c>
      <c r="U361">
        <v>4</v>
      </c>
      <c r="V361" s="1">
        <v>45352</v>
      </c>
      <c r="W361">
        <v>18.5</v>
      </c>
      <c r="X361">
        <v>8.2200000000000006</v>
      </c>
      <c r="Y361">
        <v>13.5</v>
      </c>
      <c r="Z361">
        <v>0</v>
      </c>
      <c r="AA361">
        <v>0</v>
      </c>
      <c r="AB361">
        <v>2</v>
      </c>
      <c r="AC361">
        <v>0</v>
      </c>
      <c r="AD361">
        <f t="shared" ca="1" si="5"/>
        <v>11</v>
      </c>
      <c r="AE361">
        <f>AVERAGE(Table1[[#This Row],[Runs Conceded]]/Table1[[#This Row],[Wickets Taken]])</f>
        <v>18.5</v>
      </c>
    </row>
    <row r="362" spans="1:31" x14ac:dyDescent="0.3">
      <c r="A362" t="s">
        <v>250</v>
      </c>
      <c r="B362" t="s">
        <v>284</v>
      </c>
      <c r="C362" t="s">
        <v>92</v>
      </c>
      <c r="D362">
        <v>3</v>
      </c>
      <c r="E362">
        <v>2</v>
      </c>
      <c r="F362">
        <v>0</v>
      </c>
      <c r="G362">
        <v>9</v>
      </c>
      <c r="H362">
        <v>6</v>
      </c>
      <c r="I362">
        <v>4.5</v>
      </c>
      <c r="J362">
        <v>10</v>
      </c>
      <c r="K362">
        <v>90</v>
      </c>
      <c r="L362">
        <v>0</v>
      </c>
      <c r="M362">
        <v>0</v>
      </c>
      <c r="N362">
        <v>0</v>
      </c>
      <c r="O362">
        <v>0</v>
      </c>
      <c r="P362">
        <v>0</v>
      </c>
      <c r="Q362" t="s">
        <v>37</v>
      </c>
      <c r="R362" t="s">
        <v>37</v>
      </c>
      <c r="S362" t="s">
        <v>37</v>
      </c>
      <c r="T362" t="s">
        <v>37</v>
      </c>
      <c r="U362" t="s">
        <v>37</v>
      </c>
      <c r="V362" t="s">
        <v>37</v>
      </c>
      <c r="W362" t="s">
        <v>37</v>
      </c>
      <c r="X362" t="s">
        <v>37</v>
      </c>
      <c r="Y362" t="s">
        <v>37</v>
      </c>
      <c r="Z362" t="s">
        <v>37</v>
      </c>
      <c r="AA362" t="s">
        <v>37</v>
      </c>
      <c r="AB362">
        <v>0</v>
      </c>
      <c r="AC362">
        <v>0</v>
      </c>
      <c r="AD362">
        <f t="shared" ca="1" si="5"/>
        <v>8</v>
      </c>
      <c r="AE362" t="e">
        <f>AVERAGE(Table1[[#This Row],[Runs Conceded]]/Table1[[#This Row],[Wickets Taken]])</f>
        <v>#VALUE!</v>
      </c>
    </row>
    <row r="363" spans="1:31" x14ac:dyDescent="0.3">
      <c r="A363" t="s">
        <v>250</v>
      </c>
      <c r="B363" t="s">
        <v>285</v>
      </c>
      <c r="C363" t="s">
        <v>32</v>
      </c>
      <c r="D363">
        <v>5</v>
      </c>
      <c r="E363">
        <v>4</v>
      </c>
      <c r="F363">
        <v>0</v>
      </c>
      <c r="G363">
        <v>77</v>
      </c>
      <c r="H363">
        <v>65</v>
      </c>
      <c r="I363">
        <v>19.25</v>
      </c>
      <c r="J363">
        <v>46</v>
      </c>
      <c r="K363">
        <v>167.39</v>
      </c>
      <c r="L363">
        <v>0</v>
      </c>
      <c r="M363">
        <v>1</v>
      </c>
      <c r="N363">
        <v>0</v>
      </c>
      <c r="O363">
        <v>4</v>
      </c>
      <c r="P363">
        <v>6</v>
      </c>
      <c r="Q363">
        <v>5</v>
      </c>
      <c r="R363">
        <v>13.1</v>
      </c>
      <c r="S363">
        <v>0</v>
      </c>
      <c r="T363">
        <v>97</v>
      </c>
      <c r="U363">
        <v>3</v>
      </c>
      <c r="V363" s="1">
        <v>41275</v>
      </c>
      <c r="W363">
        <v>32.33</v>
      </c>
      <c r="X363">
        <v>7.36</v>
      </c>
      <c r="Y363">
        <v>26.3</v>
      </c>
      <c r="Z363">
        <v>0</v>
      </c>
      <c r="AA363">
        <v>0</v>
      </c>
      <c r="AB363">
        <v>2</v>
      </c>
      <c r="AC363">
        <v>0</v>
      </c>
      <c r="AD363">
        <f t="shared" ca="1" si="5"/>
        <v>10</v>
      </c>
      <c r="AE363">
        <f>AVERAGE(Table1[[#This Row],[Runs Conceded]]/Table1[[#This Row],[Wickets Taken]])</f>
        <v>32.333333333333336</v>
      </c>
    </row>
    <row r="364" spans="1:31" x14ac:dyDescent="0.3">
      <c r="A364" t="s">
        <v>250</v>
      </c>
      <c r="B364" t="s">
        <v>285</v>
      </c>
      <c r="C364" t="s">
        <v>92</v>
      </c>
      <c r="D364">
        <v>11</v>
      </c>
      <c r="E364">
        <v>10</v>
      </c>
      <c r="F364">
        <v>2</v>
      </c>
      <c r="G364">
        <v>220</v>
      </c>
      <c r="H364">
        <v>66</v>
      </c>
      <c r="I364">
        <v>27.5</v>
      </c>
      <c r="J364">
        <v>133</v>
      </c>
      <c r="K364">
        <v>165.41</v>
      </c>
      <c r="L364">
        <v>0</v>
      </c>
      <c r="M364">
        <v>2</v>
      </c>
      <c r="N364">
        <v>0</v>
      </c>
      <c r="O364">
        <v>16</v>
      </c>
      <c r="P364">
        <v>17</v>
      </c>
      <c r="Q364">
        <v>9</v>
      </c>
      <c r="R364">
        <v>25</v>
      </c>
      <c r="S364">
        <v>0</v>
      </c>
      <c r="T364">
        <v>169</v>
      </c>
      <c r="U364">
        <v>6</v>
      </c>
      <c r="V364" s="1">
        <v>43132</v>
      </c>
      <c r="W364">
        <v>28.16</v>
      </c>
      <c r="X364">
        <v>6.76</v>
      </c>
      <c r="Y364">
        <v>25</v>
      </c>
      <c r="Z364">
        <v>0</v>
      </c>
      <c r="AA364">
        <v>0</v>
      </c>
      <c r="AB364">
        <v>1</v>
      </c>
      <c r="AC364">
        <v>0</v>
      </c>
      <c r="AD364">
        <f t="shared" ca="1" si="5"/>
        <v>3</v>
      </c>
      <c r="AE364">
        <f>AVERAGE(Table1[[#This Row],[Runs Conceded]]/Table1[[#This Row],[Wickets Taken]])</f>
        <v>28.166666666666668</v>
      </c>
    </row>
    <row r="365" spans="1:31" x14ac:dyDescent="0.3">
      <c r="A365" t="s">
        <v>250</v>
      </c>
      <c r="B365" t="s">
        <v>286</v>
      </c>
      <c r="C365" t="s">
        <v>32</v>
      </c>
      <c r="D365">
        <v>3</v>
      </c>
      <c r="E365" t="s">
        <v>37</v>
      </c>
      <c r="F365" t="s">
        <v>37</v>
      </c>
      <c r="G365" t="s">
        <v>37</v>
      </c>
      <c r="H365" t="s">
        <v>37</v>
      </c>
      <c r="I365" t="s">
        <v>37</v>
      </c>
      <c r="J365" t="s">
        <v>37</v>
      </c>
      <c r="K365" t="s">
        <v>37</v>
      </c>
      <c r="L365" t="s">
        <v>37</v>
      </c>
      <c r="M365" t="s">
        <v>37</v>
      </c>
      <c r="N365" t="s">
        <v>37</v>
      </c>
      <c r="O365" t="s">
        <v>37</v>
      </c>
      <c r="P365" t="s">
        <v>37</v>
      </c>
      <c r="Q365">
        <v>3</v>
      </c>
      <c r="R365">
        <v>10.5</v>
      </c>
      <c r="S365">
        <v>0</v>
      </c>
      <c r="T365">
        <v>107</v>
      </c>
      <c r="U365">
        <v>2</v>
      </c>
      <c r="V365" s="1">
        <v>12086</v>
      </c>
      <c r="W365">
        <v>53.5</v>
      </c>
      <c r="X365">
        <v>9.8699999999999992</v>
      </c>
      <c r="Y365">
        <v>32.5</v>
      </c>
      <c r="Z365">
        <v>0</v>
      </c>
      <c r="AA365">
        <v>0</v>
      </c>
      <c r="AB365">
        <v>0</v>
      </c>
      <c r="AC365">
        <v>0</v>
      </c>
      <c r="AD365">
        <f t="shared" ca="1" si="5"/>
        <v>3</v>
      </c>
      <c r="AE365">
        <f>AVERAGE(Table1[[#This Row],[Runs Conceded]]/Table1[[#This Row],[Wickets Taken]])</f>
        <v>53.5</v>
      </c>
    </row>
    <row r="366" spans="1:31" x14ac:dyDescent="0.3">
      <c r="A366" t="s">
        <v>250</v>
      </c>
      <c r="B366" t="s">
        <v>286</v>
      </c>
      <c r="C366" t="s">
        <v>92</v>
      </c>
      <c r="D366">
        <v>2</v>
      </c>
      <c r="E366" t="s">
        <v>37</v>
      </c>
      <c r="F366" t="s">
        <v>37</v>
      </c>
      <c r="G366" t="s">
        <v>37</v>
      </c>
      <c r="H366" t="s">
        <v>37</v>
      </c>
      <c r="I366" t="s">
        <v>37</v>
      </c>
      <c r="J366" t="s">
        <v>37</v>
      </c>
      <c r="K366" t="s">
        <v>37</v>
      </c>
      <c r="L366" t="s">
        <v>37</v>
      </c>
      <c r="M366" t="s">
        <v>37</v>
      </c>
      <c r="N366" t="s">
        <v>37</v>
      </c>
      <c r="O366" t="s">
        <v>37</v>
      </c>
      <c r="P366" t="s">
        <v>37</v>
      </c>
      <c r="Q366">
        <v>2</v>
      </c>
      <c r="R366">
        <v>5</v>
      </c>
      <c r="S366">
        <v>0</v>
      </c>
      <c r="T366">
        <v>46</v>
      </c>
      <c r="U366">
        <v>1</v>
      </c>
      <c r="V366" s="1">
        <v>47119</v>
      </c>
      <c r="W366">
        <v>46</v>
      </c>
      <c r="X366">
        <v>9.1999999999999993</v>
      </c>
      <c r="Y366">
        <v>30</v>
      </c>
      <c r="Z366">
        <v>0</v>
      </c>
      <c r="AA366">
        <v>0</v>
      </c>
      <c r="AB366">
        <v>0</v>
      </c>
      <c r="AC366">
        <v>0</v>
      </c>
      <c r="AD366">
        <f t="shared" ca="1" si="5"/>
        <v>16</v>
      </c>
      <c r="AE366">
        <f>AVERAGE(Table1[[#This Row],[Runs Conceded]]/Table1[[#This Row],[Wickets Taken]])</f>
        <v>46</v>
      </c>
    </row>
    <row r="367" spans="1:31" x14ac:dyDescent="0.3">
      <c r="A367" t="s">
        <v>250</v>
      </c>
      <c r="B367" t="s">
        <v>287</v>
      </c>
      <c r="C367" t="s">
        <v>92</v>
      </c>
      <c r="D367">
        <v>1</v>
      </c>
      <c r="E367">
        <v>1</v>
      </c>
      <c r="F367">
        <v>0</v>
      </c>
      <c r="G367">
        <v>19</v>
      </c>
      <c r="H367">
        <v>19</v>
      </c>
      <c r="I367">
        <v>19</v>
      </c>
      <c r="J367">
        <v>24</v>
      </c>
      <c r="K367">
        <v>79.16</v>
      </c>
      <c r="L367">
        <v>0</v>
      </c>
      <c r="M367">
        <v>0</v>
      </c>
      <c r="N367">
        <v>0</v>
      </c>
      <c r="O367">
        <v>2</v>
      </c>
      <c r="P367">
        <v>0</v>
      </c>
      <c r="Q367">
        <v>1</v>
      </c>
      <c r="R367">
        <v>4</v>
      </c>
      <c r="S367">
        <v>0</v>
      </c>
      <c r="T367">
        <v>56</v>
      </c>
      <c r="U367">
        <v>0</v>
      </c>
      <c r="V367" t="s">
        <v>37</v>
      </c>
      <c r="W367" t="s">
        <v>37</v>
      </c>
      <c r="X367">
        <v>14</v>
      </c>
      <c r="Y367" t="s">
        <v>37</v>
      </c>
      <c r="Z367">
        <v>0</v>
      </c>
      <c r="AA367">
        <v>0</v>
      </c>
      <c r="AB367">
        <v>0</v>
      </c>
      <c r="AC367">
        <v>0</v>
      </c>
      <c r="AD367">
        <f t="shared" ca="1" si="5"/>
        <v>18</v>
      </c>
      <c r="AE367" t="e">
        <f>AVERAGE(Table1[[#This Row],[Runs Conceded]]/Table1[[#This Row],[Wickets Taken]])</f>
        <v>#DIV/0!</v>
      </c>
    </row>
    <row r="368" spans="1:31" x14ac:dyDescent="0.3">
      <c r="A368" t="s">
        <v>250</v>
      </c>
      <c r="B368" t="s">
        <v>288</v>
      </c>
      <c r="C368" t="s">
        <v>92</v>
      </c>
      <c r="D368">
        <v>5</v>
      </c>
      <c r="E368">
        <v>5</v>
      </c>
      <c r="F368">
        <v>0</v>
      </c>
      <c r="G368">
        <v>90</v>
      </c>
      <c r="H368">
        <v>75</v>
      </c>
      <c r="I368">
        <v>18</v>
      </c>
      <c r="J368">
        <v>73</v>
      </c>
      <c r="K368">
        <v>123.28</v>
      </c>
      <c r="L368">
        <v>0</v>
      </c>
      <c r="M368">
        <v>1</v>
      </c>
      <c r="N368">
        <v>1</v>
      </c>
      <c r="O368">
        <v>4</v>
      </c>
      <c r="P368">
        <v>7</v>
      </c>
      <c r="Q368" t="s">
        <v>37</v>
      </c>
      <c r="R368" t="s">
        <v>37</v>
      </c>
      <c r="S368" t="s">
        <v>37</v>
      </c>
      <c r="T368" t="s">
        <v>37</v>
      </c>
      <c r="U368" t="s">
        <v>37</v>
      </c>
      <c r="V368" t="s">
        <v>37</v>
      </c>
      <c r="W368" t="s">
        <v>37</v>
      </c>
      <c r="X368" t="s">
        <v>37</v>
      </c>
      <c r="Y368" t="s">
        <v>37</v>
      </c>
      <c r="Z368" t="s">
        <v>37</v>
      </c>
      <c r="AA368" t="s">
        <v>37</v>
      </c>
      <c r="AB368">
        <v>3</v>
      </c>
      <c r="AC368">
        <v>0</v>
      </c>
      <c r="AD368">
        <f t="shared" ca="1" si="5"/>
        <v>10</v>
      </c>
      <c r="AE368" t="e">
        <f>AVERAGE(Table1[[#This Row],[Runs Conceded]]/Table1[[#This Row],[Wickets Taken]])</f>
        <v>#VALUE!</v>
      </c>
    </row>
    <row r="369" spans="1:31" x14ac:dyDescent="0.3">
      <c r="A369" t="s">
        <v>250</v>
      </c>
      <c r="B369" t="s">
        <v>289</v>
      </c>
      <c r="C369" t="s">
        <v>92</v>
      </c>
      <c r="D369">
        <v>4</v>
      </c>
      <c r="E369">
        <v>4</v>
      </c>
      <c r="F369">
        <v>1</v>
      </c>
      <c r="G369">
        <v>40</v>
      </c>
      <c r="H369">
        <v>24</v>
      </c>
      <c r="I369">
        <v>13.33</v>
      </c>
      <c r="J369">
        <v>33</v>
      </c>
      <c r="K369">
        <v>121.21</v>
      </c>
      <c r="L369">
        <v>0</v>
      </c>
      <c r="M369">
        <v>0</v>
      </c>
      <c r="N369">
        <v>0</v>
      </c>
      <c r="O369">
        <v>1</v>
      </c>
      <c r="P369">
        <v>3</v>
      </c>
      <c r="Q369">
        <v>2</v>
      </c>
      <c r="R369">
        <v>1.4</v>
      </c>
      <c r="S369">
        <v>0</v>
      </c>
      <c r="T369">
        <v>8</v>
      </c>
      <c r="U369">
        <v>0</v>
      </c>
      <c r="V369" t="s">
        <v>37</v>
      </c>
      <c r="W369" t="s">
        <v>37</v>
      </c>
      <c r="X369">
        <v>4.8</v>
      </c>
      <c r="Y369" t="s">
        <v>37</v>
      </c>
      <c r="Z369">
        <v>0</v>
      </c>
      <c r="AA369">
        <v>0</v>
      </c>
      <c r="AB369">
        <v>1</v>
      </c>
      <c r="AC369">
        <v>0</v>
      </c>
      <c r="AD369">
        <f t="shared" ca="1" si="5"/>
        <v>13</v>
      </c>
      <c r="AE369" t="e">
        <f>AVERAGE(Table1[[#This Row],[Runs Conceded]]/Table1[[#This Row],[Wickets Taken]])</f>
        <v>#DIV/0!</v>
      </c>
    </row>
    <row r="370" spans="1:31" x14ac:dyDescent="0.3">
      <c r="A370" t="s">
        <v>250</v>
      </c>
      <c r="B370" t="s">
        <v>290</v>
      </c>
      <c r="C370" t="s">
        <v>92</v>
      </c>
      <c r="D370">
        <v>13</v>
      </c>
      <c r="E370">
        <v>2</v>
      </c>
      <c r="F370">
        <v>1</v>
      </c>
      <c r="G370">
        <v>2</v>
      </c>
      <c r="H370">
        <v>2</v>
      </c>
      <c r="I370">
        <v>2</v>
      </c>
      <c r="J370">
        <v>4</v>
      </c>
      <c r="K370">
        <v>50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13</v>
      </c>
      <c r="R370">
        <v>48</v>
      </c>
      <c r="S370">
        <v>0</v>
      </c>
      <c r="T370">
        <v>397</v>
      </c>
      <c r="U370">
        <v>11</v>
      </c>
      <c r="V370" s="1">
        <v>45323</v>
      </c>
      <c r="W370">
        <v>36.090000000000003</v>
      </c>
      <c r="X370">
        <v>8.27</v>
      </c>
      <c r="Y370">
        <v>26.1</v>
      </c>
      <c r="Z370">
        <v>0</v>
      </c>
      <c r="AA370">
        <v>0</v>
      </c>
      <c r="AB370">
        <v>3</v>
      </c>
      <c r="AC370">
        <v>0</v>
      </c>
      <c r="AD370">
        <f t="shared" ca="1" si="5"/>
        <v>4</v>
      </c>
      <c r="AE370">
        <f>AVERAGE(Table1[[#This Row],[Runs Conceded]]/Table1[[#This Row],[Wickets Taken]])</f>
        <v>36.090909090909093</v>
      </c>
    </row>
    <row r="371" spans="1:31" x14ac:dyDescent="0.3">
      <c r="A371" t="s">
        <v>291</v>
      </c>
      <c r="B371" t="s">
        <v>46</v>
      </c>
      <c r="C371" t="s">
        <v>32</v>
      </c>
      <c r="D371">
        <v>4</v>
      </c>
      <c r="E371">
        <v>4</v>
      </c>
      <c r="F371">
        <v>1</v>
      </c>
      <c r="G371">
        <v>75</v>
      </c>
      <c r="H371" t="s">
        <v>292</v>
      </c>
      <c r="I371">
        <v>25</v>
      </c>
      <c r="J371">
        <v>48</v>
      </c>
      <c r="K371">
        <v>156.25</v>
      </c>
      <c r="L371">
        <v>0</v>
      </c>
      <c r="M371">
        <v>0</v>
      </c>
      <c r="N371">
        <v>0</v>
      </c>
      <c r="O371">
        <v>1</v>
      </c>
      <c r="P371">
        <v>8</v>
      </c>
      <c r="Q371">
        <v>4</v>
      </c>
      <c r="R371">
        <v>10.1</v>
      </c>
      <c r="S371">
        <v>0</v>
      </c>
      <c r="T371">
        <v>94</v>
      </c>
      <c r="U371">
        <v>5</v>
      </c>
      <c r="V371" s="1">
        <v>42036</v>
      </c>
      <c r="W371">
        <v>18.8</v>
      </c>
      <c r="X371">
        <v>9.24</v>
      </c>
      <c r="Y371">
        <v>12.2</v>
      </c>
      <c r="Z371">
        <v>0</v>
      </c>
      <c r="AA371">
        <v>0</v>
      </c>
      <c r="AB371">
        <v>2</v>
      </c>
      <c r="AC371">
        <v>0</v>
      </c>
      <c r="AD371">
        <f t="shared" ca="1" si="5"/>
        <v>15</v>
      </c>
      <c r="AE371">
        <f>AVERAGE(Table1[[#This Row],[Runs Conceded]]/Table1[[#This Row],[Wickets Taken]])</f>
        <v>18.8</v>
      </c>
    </row>
    <row r="372" spans="1:31" x14ac:dyDescent="0.3">
      <c r="A372" t="s">
        <v>291</v>
      </c>
      <c r="B372" t="s">
        <v>60</v>
      </c>
      <c r="C372" t="s">
        <v>92</v>
      </c>
      <c r="D372">
        <v>3</v>
      </c>
      <c r="E372" t="s">
        <v>37</v>
      </c>
      <c r="F372" t="s">
        <v>37</v>
      </c>
      <c r="G372" t="s">
        <v>37</v>
      </c>
      <c r="H372" t="s">
        <v>37</v>
      </c>
      <c r="I372" t="s">
        <v>37</v>
      </c>
      <c r="J372" t="s">
        <v>37</v>
      </c>
      <c r="K372" t="s">
        <v>37</v>
      </c>
      <c r="L372" t="s">
        <v>37</v>
      </c>
      <c r="M372" t="s">
        <v>37</v>
      </c>
      <c r="N372" t="s">
        <v>37</v>
      </c>
      <c r="O372" t="s">
        <v>37</v>
      </c>
      <c r="P372" t="s">
        <v>37</v>
      </c>
      <c r="Q372">
        <v>3</v>
      </c>
      <c r="R372">
        <v>9</v>
      </c>
      <c r="S372">
        <v>0</v>
      </c>
      <c r="T372">
        <v>90</v>
      </c>
      <c r="U372">
        <v>2</v>
      </c>
      <c r="V372" s="1">
        <v>45292</v>
      </c>
      <c r="W372">
        <v>45</v>
      </c>
      <c r="X372">
        <v>10</v>
      </c>
      <c r="Y372">
        <v>27</v>
      </c>
      <c r="Z372">
        <v>0</v>
      </c>
      <c r="AA372">
        <v>0</v>
      </c>
      <c r="AB372">
        <v>0</v>
      </c>
      <c r="AC372">
        <v>0</v>
      </c>
      <c r="AD372">
        <f t="shared" ca="1" si="5"/>
        <v>11</v>
      </c>
      <c r="AE372">
        <f>AVERAGE(Table1[[#This Row],[Runs Conceded]]/Table1[[#This Row],[Wickets Taken]])</f>
        <v>45</v>
      </c>
    </row>
    <row r="373" spans="1:31" x14ac:dyDescent="0.3">
      <c r="A373" t="s">
        <v>291</v>
      </c>
      <c r="B373" t="s">
        <v>100</v>
      </c>
      <c r="C373" t="s">
        <v>32</v>
      </c>
      <c r="D373">
        <v>11</v>
      </c>
      <c r="E373">
        <v>10</v>
      </c>
      <c r="F373">
        <v>2</v>
      </c>
      <c r="G373">
        <v>122</v>
      </c>
      <c r="H373">
        <v>35</v>
      </c>
      <c r="I373">
        <v>15.25</v>
      </c>
      <c r="J373">
        <v>102</v>
      </c>
      <c r="K373">
        <v>119.6</v>
      </c>
      <c r="L373">
        <v>0</v>
      </c>
      <c r="M373">
        <v>0</v>
      </c>
      <c r="N373">
        <v>1</v>
      </c>
      <c r="O373">
        <v>17</v>
      </c>
      <c r="P373">
        <v>1</v>
      </c>
      <c r="Q373" t="s">
        <v>37</v>
      </c>
      <c r="R373" t="s">
        <v>37</v>
      </c>
      <c r="S373" t="s">
        <v>37</v>
      </c>
      <c r="T373" t="s">
        <v>37</v>
      </c>
      <c r="U373" t="s">
        <v>37</v>
      </c>
      <c r="V373" t="s">
        <v>37</v>
      </c>
      <c r="W373" t="s">
        <v>37</v>
      </c>
      <c r="X373" t="s">
        <v>37</v>
      </c>
      <c r="Y373" t="s">
        <v>37</v>
      </c>
      <c r="Z373" t="s">
        <v>37</v>
      </c>
      <c r="AA373" t="s">
        <v>37</v>
      </c>
      <c r="AB373">
        <v>5</v>
      </c>
      <c r="AC373">
        <v>1</v>
      </c>
      <c r="AD373">
        <f t="shared" ca="1" si="5"/>
        <v>6</v>
      </c>
      <c r="AE373" t="e">
        <f>AVERAGE(Table1[[#This Row],[Runs Conceded]]/Table1[[#This Row],[Wickets Taken]])</f>
        <v>#VALUE!</v>
      </c>
    </row>
    <row r="374" spans="1:31" x14ac:dyDescent="0.3">
      <c r="A374" t="s">
        <v>291</v>
      </c>
      <c r="B374" t="s">
        <v>100</v>
      </c>
      <c r="C374" t="s">
        <v>92</v>
      </c>
      <c r="D374">
        <v>5</v>
      </c>
      <c r="E374">
        <v>5</v>
      </c>
      <c r="F374">
        <v>0</v>
      </c>
      <c r="G374">
        <v>86</v>
      </c>
      <c r="H374">
        <v>28</v>
      </c>
      <c r="I374">
        <v>17.2</v>
      </c>
      <c r="J374">
        <v>53</v>
      </c>
      <c r="K374">
        <v>162.26</v>
      </c>
      <c r="L374">
        <v>0</v>
      </c>
      <c r="M374">
        <v>0</v>
      </c>
      <c r="N374">
        <v>0</v>
      </c>
      <c r="O374">
        <v>13</v>
      </c>
      <c r="P374">
        <v>1</v>
      </c>
      <c r="Q374" t="s">
        <v>37</v>
      </c>
      <c r="R374" t="s">
        <v>37</v>
      </c>
      <c r="S374" t="s">
        <v>37</v>
      </c>
      <c r="T374" t="s">
        <v>37</v>
      </c>
      <c r="U374" t="s">
        <v>37</v>
      </c>
      <c r="V374" t="s">
        <v>37</v>
      </c>
      <c r="W374" t="s">
        <v>37</v>
      </c>
      <c r="X374" t="s">
        <v>37</v>
      </c>
      <c r="Y374" t="s">
        <v>37</v>
      </c>
      <c r="Z374" t="s">
        <v>37</v>
      </c>
      <c r="AA374" t="s">
        <v>37</v>
      </c>
      <c r="AB374">
        <v>3</v>
      </c>
      <c r="AC374">
        <v>1</v>
      </c>
      <c r="AD374">
        <f t="shared" ca="1" si="5"/>
        <v>6</v>
      </c>
      <c r="AE374" t="e">
        <f>AVERAGE(Table1[[#This Row],[Runs Conceded]]/Table1[[#This Row],[Wickets Taken]])</f>
        <v>#VALUE!</v>
      </c>
    </row>
    <row r="375" spans="1:31" x14ac:dyDescent="0.3">
      <c r="A375" t="s">
        <v>291</v>
      </c>
      <c r="B375" t="s">
        <v>120</v>
      </c>
      <c r="C375" t="s">
        <v>32</v>
      </c>
      <c r="D375">
        <v>12</v>
      </c>
      <c r="E375">
        <v>3</v>
      </c>
      <c r="F375">
        <v>1</v>
      </c>
      <c r="G375">
        <v>0</v>
      </c>
      <c r="H375" t="s">
        <v>148</v>
      </c>
      <c r="I375">
        <v>0</v>
      </c>
      <c r="J375">
        <v>4</v>
      </c>
      <c r="K375">
        <v>0</v>
      </c>
      <c r="L375">
        <v>0</v>
      </c>
      <c r="M375">
        <v>0</v>
      </c>
      <c r="N375">
        <v>2</v>
      </c>
      <c r="O375">
        <v>0</v>
      </c>
      <c r="P375">
        <v>0</v>
      </c>
      <c r="Q375">
        <v>12</v>
      </c>
      <c r="R375">
        <v>44</v>
      </c>
      <c r="S375">
        <v>0</v>
      </c>
      <c r="T375">
        <v>333</v>
      </c>
      <c r="U375">
        <v>12</v>
      </c>
      <c r="V375" s="1">
        <v>42767</v>
      </c>
      <c r="W375">
        <v>27.75</v>
      </c>
      <c r="X375">
        <v>7.56</v>
      </c>
      <c r="Y375">
        <v>22</v>
      </c>
      <c r="Z375">
        <v>0</v>
      </c>
      <c r="AA375">
        <v>0</v>
      </c>
      <c r="AB375">
        <v>2</v>
      </c>
      <c r="AC375">
        <v>0</v>
      </c>
      <c r="AD375">
        <f t="shared" ca="1" si="5"/>
        <v>8</v>
      </c>
      <c r="AE375">
        <f>AVERAGE(Table1[[#This Row],[Runs Conceded]]/Table1[[#This Row],[Wickets Taken]])</f>
        <v>27.75</v>
      </c>
    </row>
    <row r="376" spans="1:31" x14ac:dyDescent="0.3">
      <c r="A376" t="s">
        <v>291</v>
      </c>
      <c r="B376" t="s">
        <v>120</v>
      </c>
      <c r="C376" t="s">
        <v>92</v>
      </c>
      <c r="D376">
        <v>11</v>
      </c>
      <c r="E376">
        <v>2</v>
      </c>
      <c r="F376">
        <v>2</v>
      </c>
      <c r="G376">
        <v>6</v>
      </c>
      <c r="H376" t="s">
        <v>121</v>
      </c>
      <c r="I376" t="s">
        <v>37</v>
      </c>
      <c r="J376">
        <v>3</v>
      </c>
      <c r="K376">
        <v>200</v>
      </c>
      <c r="L376">
        <v>0</v>
      </c>
      <c r="M376">
        <v>0</v>
      </c>
      <c r="N376">
        <v>0</v>
      </c>
      <c r="O376">
        <v>1</v>
      </c>
      <c r="P376">
        <v>0</v>
      </c>
      <c r="Q376">
        <v>11</v>
      </c>
      <c r="R376">
        <v>42.4</v>
      </c>
      <c r="S376">
        <v>0</v>
      </c>
      <c r="T376">
        <v>352</v>
      </c>
      <c r="U376">
        <v>12</v>
      </c>
      <c r="V376" s="1">
        <v>43525</v>
      </c>
      <c r="W376">
        <v>29.33</v>
      </c>
      <c r="X376">
        <v>8.25</v>
      </c>
      <c r="Y376">
        <v>21.3</v>
      </c>
      <c r="Z376">
        <v>0</v>
      </c>
      <c r="AA376">
        <v>0</v>
      </c>
      <c r="AB376">
        <v>1</v>
      </c>
      <c r="AC376">
        <v>0</v>
      </c>
      <c r="AD376">
        <f t="shared" ca="1" si="5"/>
        <v>5</v>
      </c>
      <c r="AE376">
        <f>AVERAGE(Table1[[#This Row],[Runs Conceded]]/Table1[[#This Row],[Wickets Taken]])</f>
        <v>29.333333333333332</v>
      </c>
    </row>
    <row r="377" spans="1:31" x14ac:dyDescent="0.3">
      <c r="A377" t="s">
        <v>291</v>
      </c>
      <c r="B377" t="s">
        <v>162</v>
      </c>
      <c r="C377" t="s">
        <v>32</v>
      </c>
      <c r="D377">
        <v>15</v>
      </c>
      <c r="E377">
        <v>13</v>
      </c>
      <c r="F377">
        <v>4</v>
      </c>
      <c r="G377">
        <v>260</v>
      </c>
      <c r="H377" t="s">
        <v>217</v>
      </c>
      <c r="I377">
        <v>28.88</v>
      </c>
      <c r="J377">
        <v>200</v>
      </c>
      <c r="K377">
        <v>130</v>
      </c>
      <c r="L377">
        <v>0</v>
      </c>
      <c r="M377">
        <v>0</v>
      </c>
      <c r="N377">
        <v>0</v>
      </c>
      <c r="O377">
        <v>22</v>
      </c>
      <c r="P377">
        <v>11</v>
      </c>
      <c r="Q377">
        <v>1</v>
      </c>
      <c r="R377">
        <v>2</v>
      </c>
      <c r="S377">
        <v>0</v>
      </c>
      <c r="T377">
        <v>14</v>
      </c>
      <c r="U377">
        <v>1</v>
      </c>
      <c r="V377" s="1">
        <v>41640</v>
      </c>
      <c r="W377">
        <v>14</v>
      </c>
      <c r="X377">
        <v>7</v>
      </c>
      <c r="Y377">
        <v>12</v>
      </c>
      <c r="Z377">
        <v>0</v>
      </c>
      <c r="AA377">
        <v>0</v>
      </c>
      <c r="AB377">
        <v>3</v>
      </c>
      <c r="AC377">
        <v>0</v>
      </c>
      <c r="AD377">
        <f t="shared" ca="1" si="5"/>
        <v>13</v>
      </c>
      <c r="AE377">
        <f>AVERAGE(Table1[[#This Row],[Runs Conceded]]/Table1[[#This Row],[Wickets Taken]])</f>
        <v>14</v>
      </c>
    </row>
    <row r="378" spans="1:31" x14ac:dyDescent="0.3">
      <c r="A378" t="s">
        <v>291</v>
      </c>
      <c r="B378" t="s">
        <v>162</v>
      </c>
      <c r="C378" t="s">
        <v>92</v>
      </c>
      <c r="D378">
        <v>10</v>
      </c>
      <c r="E378">
        <v>8</v>
      </c>
      <c r="F378">
        <v>5</v>
      </c>
      <c r="G378">
        <v>40</v>
      </c>
      <c r="H378" t="s">
        <v>226</v>
      </c>
      <c r="I378">
        <v>13.33</v>
      </c>
      <c r="J378">
        <v>45</v>
      </c>
      <c r="K378">
        <v>88.88</v>
      </c>
      <c r="L378">
        <v>0</v>
      </c>
      <c r="M378">
        <v>0</v>
      </c>
      <c r="N378">
        <v>1</v>
      </c>
      <c r="O378">
        <v>1</v>
      </c>
      <c r="P378">
        <v>1</v>
      </c>
      <c r="Q378">
        <v>1</v>
      </c>
      <c r="R378">
        <v>1</v>
      </c>
      <c r="S378">
        <v>0</v>
      </c>
      <c r="T378">
        <v>8</v>
      </c>
      <c r="U378">
        <v>0</v>
      </c>
      <c r="V378" t="s">
        <v>37</v>
      </c>
      <c r="W378" t="s">
        <v>37</v>
      </c>
      <c r="X378">
        <v>8</v>
      </c>
      <c r="Y378" t="s">
        <v>37</v>
      </c>
      <c r="Z378">
        <v>0</v>
      </c>
      <c r="AA378">
        <v>0</v>
      </c>
      <c r="AB378">
        <v>1</v>
      </c>
      <c r="AC378">
        <v>0</v>
      </c>
      <c r="AD378">
        <f t="shared" ca="1" si="5"/>
        <v>18</v>
      </c>
      <c r="AE378" t="e">
        <f>AVERAGE(Table1[[#This Row],[Runs Conceded]]/Table1[[#This Row],[Wickets Taken]])</f>
        <v>#DIV/0!</v>
      </c>
    </row>
    <row r="379" spans="1:31" x14ac:dyDescent="0.3">
      <c r="A379" t="s">
        <v>291</v>
      </c>
      <c r="B379" t="s">
        <v>166</v>
      </c>
      <c r="C379" t="s">
        <v>32</v>
      </c>
      <c r="D379">
        <v>15</v>
      </c>
      <c r="E379">
        <v>13</v>
      </c>
      <c r="F379">
        <v>2</v>
      </c>
      <c r="G379">
        <v>284</v>
      </c>
      <c r="H379" t="s">
        <v>215</v>
      </c>
      <c r="I379">
        <v>25.81</v>
      </c>
      <c r="J379">
        <v>246</v>
      </c>
      <c r="K379">
        <v>115.44</v>
      </c>
      <c r="L379">
        <v>0</v>
      </c>
      <c r="M379">
        <v>3</v>
      </c>
      <c r="N379">
        <v>1</v>
      </c>
      <c r="O379">
        <v>22</v>
      </c>
      <c r="P379">
        <v>5</v>
      </c>
      <c r="Q379" t="s">
        <v>37</v>
      </c>
      <c r="R379" t="s">
        <v>37</v>
      </c>
      <c r="S379" t="s">
        <v>37</v>
      </c>
      <c r="T379" t="s">
        <v>37</v>
      </c>
      <c r="U379" t="s">
        <v>37</v>
      </c>
      <c r="V379" t="s">
        <v>37</v>
      </c>
      <c r="W379" t="s">
        <v>37</v>
      </c>
      <c r="X379" t="s">
        <v>37</v>
      </c>
      <c r="Y379" t="s">
        <v>37</v>
      </c>
      <c r="Z379" t="s">
        <v>37</v>
      </c>
      <c r="AA379" t="s">
        <v>37</v>
      </c>
      <c r="AB379">
        <v>9</v>
      </c>
      <c r="AC379">
        <v>0</v>
      </c>
      <c r="AD379">
        <f t="shared" ca="1" si="5"/>
        <v>12</v>
      </c>
      <c r="AE379" t="e">
        <f>AVERAGE(Table1[[#This Row],[Runs Conceded]]/Table1[[#This Row],[Wickets Taken]])</f>
        <v>#VALUE!</v>
      </c>
    </row>
    <row r="380" spans="1:31" x14ac:dyDescent="0.3">
      <c r="A380" t="s">
        <v>291</v>
      </c>
      <c r="B380" t="s">
        <v>166</v>
      </c>
      <c r="C380" t="s">
        <v>92</v>
      </c>
      <c r="D380">
        <v>12</v>
      </c>
      <c r="E380">
        <v>11</v>
      </c>
      <c r="F380">
        <v>3</v>
      </c>
      <c r="G380">
        <v>344</v>
      </c>
      <c r="H380" t="s">
        <v>39</v>
      </c>
      <c r="I380">
        <v>43</v>
      </c>
      <c r="J380">
        <v>263</v>
      </c>
      <c r="K380">
        <v>130.79</v>
      </c>
      <c r="L380">
        <v>0</v>
      </c>
      <c r="M380">
        <v>3</v>
      </c>
      <c r="N380">
        <v>0</v>
      </c>
      <c r="O380">
        <v>34</v>
      </c>
      <c r="P380">
        <v>6</v>
      </c>
      <c r="Q380" t="s">
        <v>37</v>
      </c>
      <c r="R380" t="s">
        <v>37</v>
      </c>
      <c r="S380" t="s">
        <v>37</v>
      </c>
      <c r="T380" t="s">
        <v>37</v>
      </c>
      <c r="U380" t="s">
        <v>37</v>
      </c>
      <c r="V380" t="s">
        <v>37</v>
      </c>
      <c r="W380" t="s">
        <v>37</v>
      </c>
      <c r="X380" t="s">
        <v>37</v>
      </c>
      <c r="Y380" t="s">
        <v>37</v>
      </c>
      <c r="Z380" t="s">
        <v>37</v>
      </c>
      <c r="AA380" t="s">
        <v>37</v>
      </c>
      <c r="AB380">
        <v>7</v>
      </c>
      <c r="AC380">
        <v>0</v>
      </c>
      <c r="AD380">
        <f t="shared" ca="1" si="5"/>
        <v>6</v>
      </c>
      <c r="AE380" t="e">
        <f>AVERAGE(Table1[[#This Row],[Runs Conceded]]/Table1[[#This Row],[Wickets Taken]])</f>
        <v>#VALUE!</v>
      </c>
    </row>
    <row r="381" spans="1:31" x14ac:dyDescent="0.3">
      <c r="A381" t="s">
        <v>291</v>
      </c>
      <c r="B381" t="s">
        <v>176</v>
      </c>
      <c r="C381" t="s">
        <v>32</v>
      </c>
      <c r="D381">
        <v>17</v>
      </c>
      <c r="E381">
        <v>13</v>
      </c>
      <c r="F381">
        <v>2</v>
      </c>
      <c r="G381">
        <v>239</v>
      </c>
      <c r="H381">
        <v>35</v>
      </c>
      <c r="I381">
        <v>21.72</v>
      </c>
      <c r="J381">
        <v>197</v>
      </c>
      <c r="K381">
        <v>121.31</v>
      </c>
      <c r="L381">
        <v>0</v>
      </c>
      <c r="M381">
        <v>0</v>
      </c>
      <c r="N381">
        <v>0</v>
      </c>
      <c r="O381">
        <v>26</v>
      </c>
      <c r="P381">
        <v>5</v>
      </c>
      <c r="Q381">
        <v>17</v>
      </c>
      <c r="R381">
        <v>57</v>
      </c>
      <c r="S381">
        <v>0</v>
      </c>
      <c r="T381">
        <v>456</v>
      </c>
      <c r="U381">
        <v>14</v>
      </c>
      <c r="V381" s="1">
        <v>43132</v>
      </c>
      <c r="W381">
        <v>32.57</v>
      </c>
      <c r="X381">
        <v>8</v>
      </c>
      <c r="Y381">
        <v>24.4</v>
      </c>
      <c r="Z381">
        <v>0</v>
      </c>
      <c r="AA381">
        <v>0</v>
      </c>
      <c r="AB381">
        <v>3</v>
      </c>
      <c r="AC381">
        <v>0</v>
      </c>
      <c r="AD381">
        <f t="shared" ca="1" si="5"/>
        <v>11</v>
      </c>
      <c r="AE381">
        <f>AVERAGE(Table1[[#This Row],[Runs Conceded]]/Table1[[#This Row],[Wickets Taken]])</f>
        <v>32.571428571428569</v>
      </c>
    </row>
    <row r="382" spans="1:31" x14ac:dyDescent="0.3">
      <c r="A382" t="s">
        <v>291</v>
      </c>
      <c r="B382" t="s">
        <v>176</v>
      </c>
      <c r="C382" t="s">
        <v>92</v>
      </c>
      <c r="D382">
        <v>3</v>
      </c>
      <c r="E382">
        <v>1</v>
      </c>
      <c r="F382">
        <v>0</v>
      </c>
      <c r="G382">
        <v>9</v>
      </c>
      <c r="H382">
        <v>9</v>
      </c>
      <c r="I382">
        <v>9</v>
      </c>
      <c r="J382">
        <v>10</v>
      </c>
      <c r="K382">
        <v>90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3</v>
      </c>
      <c r="R382">
        <v>10.5</v>
      </c>
      <c r="S382">
        <v>0</v>
      </c>
      <c r="T382">
        <v>95</v>
      </c>
      <c r="U382">
        <v>2</v>
      </c>
      <c r="V382" s="1">
        <v>46023</v>
      </c>
      <c r="W382">
        <v>47.5</v>
      </c>
      <c r="X382">
        <v>8.76</v>
      </c>
      <c r="Y382">
        <v>32.5</v>
      </c>
      <c r="Z382">
        <v>0</v>
      </c>
      <c r="AA382">
        <v>0</v>
      </c>
      <c r="AB382">
        <v>0</v>
      </c>
      <c r="AC382">
        <v>0</v>
      </c>
      <c r="AD382">
        <f t="shared" ca="1" si="5"/>
        <v>14</v>
      </c>
      <c r="AE382">
        <f>AVERAGE(Table1[[#This Row],[Runs Conceded]]/Table1[[#This Row],[Wickets Taken]])</f>
        <v>47.5</v>
      </c>
    </row>
    <row r="383" spans="1:31" x14ac:dyDescent="0.3">
      <c r="A383" t="s">
        <v>291</v>
      </c>
      <c r="B383" t="s">
        <v>124</v>
      </c>
      <c r="C383" t="s">
        <v>92</v>
      </c>
      <c r="D383">
        <v>3</v>
      </c>
      <c r="E383">
        <v>3</v>
      </c>
      <c r="F383">
        <v>0</v>
      </c>
      <c r="G383">
        <v>81</v>
      </c>
      <c r="H383">
        <v>36</v>
      </c>
      <c r="I383">
        <v>27</v>
      </c>
      <c r="J383">
        <v>53</v>
      </c>
      <c r="K383">
        <v>152.83000000000001</v>
      </c>
      <c r="L383">
        <v>0</v>
      </c>
      <c r="M383">
        <v>0</v>
      </c>
      <c r="N383">
        <v>0</v>
      </c>
      <c r="O383">
        <v>4</v>
      </c>
      <c r="P383">
        <v>7</v>
      </c>
      <c r="Q383" t="s">
        <v>37</v>
      </c>
      <c r="R383" t="s">
        <v>37</v>
      </c>
      <c r="S383" t="s">
        <v>37</v>
      </c>
      <c r="T383" t="s">
        <v>37</v>
      </c>
      <c r="U383" t="s">
        <v>37</v>
      </c>
      <c r="V383" t="s">
        <v>37</v>
      </c>
      <c r="W383" t="s">
        <v>37</v>
      </c>
      <c r="X383" t="s">
        <v>37</v>
      </c>
      <c r="Y383" t="s">
        <v>37</v>
      </c>
      <c r="Z383" t="s">
        <v>37</v>
      </c>
      <c r="AA383" t="s">
        <v>37</v>
      </c>
      <c r="AB383">
        <v>1</v>
      </c>
      <c r="AC383">
        <v>0</v>
      </c>
      <c r="AD383">
        <f t="shared" ca="1" si="5"/>
        <v>4</v>
      </c>
      <c r="AE383" t="e">
        <f>AVERAGE(Table1[[#This Row],[Runs Conceded]]/Table1[[#This Row],[Wickets Taken]])</f>
        <v>#VALUE!</v>
      </c>
    </row>
    <row r="384" spans="1:31" x14ac:dyDescent="0.3">
      <c r="A384" t="s">
        <v>291</v>
      </c>
      <c r="B384" t="s">
        <v>264</v>
      </c>
      <c r="C384" t="s">
        <v>30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1</v>
      </c>
      <c r="R384">
        <v>1</v>
      </c>
      <c r="S384">
        <v>0</v>
      </c>
      <c r="T384">
        <v>9</v>
      </c>
      <c r="U384">
        <v>1</v>
      </c>
      <c r="V384" s="2">
        <v>44075</v>
      </c>
      <c r="W384">
        <v>9</v>
      </c>
      <c r="X384">
        <v>9</v>
      </c>
      <c r="Y384">
        <v>6</v>
      </c>
      <c r="Z384">
        <v>0</v>
      </c>
      <c r="AA384">
        <v>0</v>
      </c>
      <c r="AB384">
        <v>0</v>
      </c>
      <c r="AC384">
        <v>0</v>
      </c>
      <c r="AD384">
        <f t="shared" ca="1" si="5"/>
        <v>5</v>
      </c>
      <c r="AE384">
        <f>AVERAGE(Table1[[#This Row],[Runs Conceded]]/Table1[[#This Row],[Wickets Taken]])</f>
        <v>9</v>
      </c>
    </row>
    <row r="385" spans="1:31" x14ac:dyDescent="0.3">
      <c r="A385" t="s">
        <v>291</v>
      </c>
      <c r="B385" t="s">
        <v>264</v>
      </c>
      <c r="C385" t="s">
        <v>32</v>
      </c>
      <c r="D385">
        <v>1</v>
      </c>
      <c r="E385" t="s">
        <v>37</v>
      </c>
      <c r="F385" t="s">
        <v>37</v>
      </c>
      <c r="G385" t="s">
        <v>37</v>
      </c>
      <c r="H385" t="s">
        <v>37</v>
      </c>
      <c r="I385" t="s">
        <v>37</v>
      </c>
      <c r="J385" t="s">
        <v>37</v>
      </c>
      <c r="K385" t="s">
        <v>37</v>
      </c>
      <c r="L385" t="s">
        <v>37</v>
      </c>
      <c r="M385" t="s">
        <v>37</v>
      </c>
      <c r="N385" t="s">
        <v>37</v>
      </c>
      <c r="O385" t="s">
        <v>37</v>
      </c>
      <c r="P385" t="s">
        <v>37</v>
      </c>
      <c r="Q385">
        <v>1</v>
      </c>
      <c r="R385">
        <v>4</v>
      </c>
      <c r="S385">
        <v>0</v>
      </c>
      <c r="T385">
        <v>31</v>
      </c>
      <c r="U385">
        <v>0</v>
      </c>
      <c r="V385" t="s">
        <v>37</v>
      </c>
      <c r="W385" t="s">
        <v>37</v>
      </c>
      <c r="X385">
        <v>7.75</v>
      </c>
      <c r="Y385" t="s">
        <v>37</v>
      </c>
      <c r="Z385">
        <v>0</v>
      </c>
      <c r="AA385">
        <v>0</v>
      </c>
      <c r="AB385">
        <v>0</v>
      </c>
      <c r="AC385">
        <v>0</v>
      </c>
      <c r="AD385">
        <f t="shared" ca="1" si="5"/>
        <v>7</v>
      </c>
      <c r="AE385" t="e">
        <f>AVERAGE(Table1[[#This Row],[Runs Conceded]]/Table1[[#This Row],[Wickets Taken]])</f>
        <v>#DIV/0!</v>
      </c>
    </row>
    <row r="386" spans="1:31" x14ac:dyDescent="0.3">
      <c r="A386" t="s">
        <v>291</v>
      </c>
      <c r="B386" t="s">
        <v>293</v>
      </c>
      <c r="C386" t="s">
        <v>28</v>
      </c>
      <c r="D386">
        <v>17</v>
      </c>
      <c r="E386">
        <v>17</v>
      </c>
      <c r="F386">
        <v>3</v>
      </c>
      <c r="G386">
        <v>848</v>
      </c>
      <c r="H386" t="s">
        <v>49</v>
      </c>
      <c r="I386">
        <v>60.57</v>
      </c>
      <c r="J386">
        <v>560</v>
      </c>
      <c r="K386">
        <v>151.41999999999999</v>
      </c>
      <c r="L386">
        <v>0</v>
      </c>
      <c r="M386">
        <v>9</v>
      </c>
      <c r="N386">
        <v>1</v>
      </c>
      <c r="O386">
        <v>88</v>
      </c>
      <c r="P386">
        <v>31</v>
      </c>
      <c r="Q386" t="s">
        <v>37</v>
      </c>
      <c r="R386" t="s">
        <v>37</v>
      </c>
      <c r="S386" t="s">
        <v>37</v>
      </c>
      <c r="T386" t="s">
        <v>37</v>
      </c>
      <c r="U386" t="s">
        <v>37</v>
      </c>
      <c r="V386" t="s">
        <v>37</v>
      </c>
      <c r="W386" t="s">
        <v>37</v>
      </c>
      <c r="X386" t="s">
        <v>37</v>
      </c>
      <c r="Y386" t="s">
        <v>37</v>
      </c>
      <c r="Z386" t="s">
        <v>37</v>
      </c>
      <c r="AA386" t="s">
        <v>37</v>
      </c>
      <c r="AB386">
        <v>4</v>
      </c>
      <c r="AC386">
        <v>0</v>
      </c>
      <c r="AD386">
        <f t="shared" ref="AD386:AD449" ca="1" si="6">RANDBETWEEN(3,18)</f>
        <v>9</v>
      </c>
      <c r="AE386" t="e">
        <f>AVERAGE(Table1[[#This Row],[Runs Conceded]]/Table1[[#This Row],[Wickets Taken]])</f>
        <v>#VALUE!</v>
      </c>
    </row>
    <row r="387" spans="1:31" x14ac:dyDescent="0.3">
      <c r="A387" t="s">
        <v>291</v>
      </c>
      <c r="B387" t="s">
        <v>293</v>
      </c>
      <c r="C387" t="s">
        <v>30</v>
      </c>
      <c r="D387">
        <v>14</v>
      </c>
      <c r="E387">
        <v>14</v>
      </c>
      <c r="F387">
        <v>3</v>
      </c>
      <c r="G387">
        <v>641</v>
      </c>
      <c r="H387">
        <v>126</v>
      </c>
      <c r="I387">
        <v>58.27</v>
      </c>
      <c r="J387">
        <v>452</v>
      </c>
      <c r="K387">
        <v>141.81</v>
      </c>
      <c r="L387">
        <v>1</v>
      </c>
      <c r="M387">
        <v>4</v>
      </c>
      <c r="N387">
        <v>0</v>
      </c>
      <c r="O387">
        <v>63</v>
      </c>
      <c r="P387">
        <v>26</v>
      </c>
      <c r="Q387" t="s">
        <v>37</v>
      </c>
      <c r="R387" t="s">
        <v>37</v>
      </c>
      <c r="S387" t="s">
        <v>37</v>
      </c>
      <c r="T387" t="s">
        <v>37</v>
      </c>
      <c r="U387" t="s">
        <v>37</v>
      </c>
      <c r="V387" t="s">
        <v>37</v>
      </c>
      <c r="W387" t="s">
        <v>37</v>
      </c>
      <c r="X387" t="s">
        <v>37</v>
      </c>
      <c r="Y387" t="s">
        <v>37</v>
      </c>
      <c r="Z387" t="s">
        <v>37</v>
      </c>
      <c r="AA387" t="s">
        <v>37</v>
      </c>
      <c r="AB387">
        <v>10</v>
      </c>
      <c r="AC387">
        <v>0</v>
      </c>
      <c r="AD387">
        <f t="shared" ca="1" si="6"/>
        <v>15</v>
      </c>
      <c r="AE387" t="e">
        <f>AVERAGE(Table1[[#This Row],[Runs Conceded]]/Table1[[#This Row],[Wickets Taken]])</f>
        <v>#VALUE!</v>
      </c>
    </row>
    <row r="388" spans="1:31" x14ac:dyDescent="0.3">
      <c r="A388" t="s">
        <v>291</v>
      </c>
      <c r="B388" t="s">
        <v>293</v>
      </c>
      <c r="C388" t="s">
        <v>92</v>
      </c>
      <c r="D388">
        <v>12</v>
      </c>
      <c r="E388">
        <v>12</v>
      </c>
      <c r="F388">
        <v>2</v>
      </c>
      <c r="G388">
        <v>692</v>
      </c>
      <c r="H388" t="s">
        <v>128</v>
      </c>
      <c r="I388">
        <v>69.2</v>
      </c>
      <c r="J388">
        <v>481</v>
      </c>
      <c r="K388">
        <v>143.86000000000001</v>
      </c>
      <c r="L388">
        <v>1</v>
      </c>
      <c r="M388">
        <v>8</v>
      </c>
      <c r="N388">
        <v>0</v>
      </c>
      <c r="O388">
        <v>57</v>
      </c>
      <c r="P388">
        <v>21</v>
      </c>
      <c r="Q388" t="s">
        <v>37</v>
      </c>
      <c r="R388" t="s">
        <v>37</v>
      </c>
      <c r="S388" t="s">
        <v>37</v>
      </c>
      <c r="T388" t="s">
        <v>37</v>
      </c>
      <c r="U388" t="s">
        <v>37</v>
      </c>
      <c r="V388" t="s">
        <v>37</v>
      </c>
      <c r="W388" t="s">
        <v>37</v>
      </c>
      <c r="X388" t="s">
        <v>37</v>
      </c>
      <c r="Y388" t="s">
        <v>37</v>
      </c>
      <c r="Z388" t="s">
        <v>37</v>
      </c>
      <c r="AA388" t="s">
        <v>37</v>
      </c>
      <c r="AB388">
        <v>2</v>
      </c>
      <c r="AC388">
        <v>0</v>
      </c>
      <c r="AD388">
        <f t="shared" ca="1" si="6"/>
        <v>10</v>
      </c>
      <c r="AE388" t="e">
        <f>AVERAGE(Table1[[#This Row],[Runs Conceded]]/Table1[[#This Row],[Wickets Taken]])</f>
        <v>#VALUE!</v>
      </c>
    </row>
    <row r="389" spans="1:31" x14ac:dyDescent="0.3">
      <c r="A389" t="s">
        <v>291</v>
      </c>
      <c r="B389" t="s">
        <v>294</v>
      </c>
      <c r="C389" t="s">
        <v>28</v>
      </c>
      <c r="D389">
        <v>17</v>
      </c>
      <c r="E389">
        <v>17</v>
      </c>
      <c r="F389">
        <v>4</v>
      </c>
      <c r="G389">
        <v>501</v>
      </c>
      <c r="H389" t="s">
        <v>29</v>
      </c>
      <c r="I389">
        <v>38.53</v>
      </c>
      <c r="J389">
        <v>429</v>
      </c>
      <c r="K389">
        <v>116.78</v>
      </c>
      <c r="L389">
        <v>0</v>
      </c>
      <c r="M389">
        <v>4</v>
      </c>
      <c r="N389">
        <v>1</v>
      </c>
      <c r="O389">
        <v>51</v>
      </c>
      <c r="P389">
        <v>8</v>
      </c>
      <c r="Q389" t="s">
        <v>37</v>
      </c>
      <c r="R389" t="s">
        <v>37</v>
      </c>
      <c r="S389" t="s">
        <v>37</v>
      </c>
      <c r="T389" t="s">
        <v>37</v>
      </c>
      <c r="U389" t="s">
        <v>37</v>
      </c>
      <c r="V389" t="s">
        <v>37</v>
      </c>
      <c r="W389" t="s">
        <v>37</v>
      </c>
      <c r="X389" t="s">
        <v>37</v>
      </c>
      <c r="Y389" t="s">
        <v>37</v>
      </c>
      <c r="Z389" t="s">
        <v>37</v>
      </c>
      <c r="AA389" t="s">
        <v>37</v>
      </c>
      <c r="AB389">
        <v>5</v>
      </c>
      <c r="AC389">
        <v>0</v>
      </c>
      <c r="AD389">
        <f t="shared" ca="1" si="6"/>
        <v>17</v>
      </c>
      <c r="AE389" t="e">
        <f>AVERAGE(Table1[[#This Row],[Runs Conceded]]/Table1[[#This Row],[Wickets Taken]])</f>
        <v>#VALUE!</v>
      </c>
    </row>
    <row r="390" spans="1:31" x14ac:dyDescent="0.3">
      <c r="A390" t="s">
        <v>291</v>
      </c>
      <c r="B390" t="s">
        <v>294</v>
      </c>
      <c r="C390" t="s">
        <v>30</v>
      </c>
      <c r="D390">
        <v>14</v>
      </c>
      <c r="E390">
        <v>14</v>
      </c>
      <c r="F390">
        <v>1</v>
      </c>
      <c r="G390">
        <v>479</v>
      </c>
      <c r="H390">
        <v>77</v>
      </c>
      <c r="I390">
        <v>36.840000000000003</v>
      </c>
      <c r="J390">
        <v>376</v>
      </c>
      <c r="K390">
        <v>127.39</v>
      </c>
      <c r="L390">
        <v>0</v>
      </c>
      <c r="M390">
        <v>3</v>
      </c>
      <c r="N390">
        <v>0</v>
      </c>
      <c r="O390">
        <v>53</v>
      </c>
      <c r="P390">
        <v>9</v>
      </c>
      <c r="Q390" t="s">
        <v>37</v>
      </c>
      <c r="R390" t="s">
        <v>37</v>
      </c>
      <c r="S390" t="s">
        <v>37</v>
      </c>
      <c r="T390" t="s">
        <v>37</v>
      </c>
      <c r="U390" t="s">
        <v>37</v>
      </c>
      <c r="V390" t="s">
        <v>37</v>
      </c>
      <c r="W390" t="s">
        <v>37</v>
      </c>
      <c r="X390" t="s">
        <v>37</v>
      </c>
      <c r="Y390" t="s">
        <v>37</v>
      </c>
      <c r="Z390" t="s">
        <v>37</v>
      </c>
      <c r="AA390" t="s">
        <v>37</v>
      </c>
      <c r="AB390">
        <v>7</v>
      </c>
      <c r="AC390">
        <v>0</v>
      </c>
      <c r="AD390">
        <f t="shared" ca="1" si="6"/>
        <v>11</v>
      </c>
      <c r="AE390" t="e">
        <f>AVERAGE(Table1[[#This Row],[Runs Conceded]]/Table1[[#This Row],[Wickets Taken]])</f>
        <v>#VALUE!</v>
      </c>
    </row>
    <row r="391" spans="1:31" x14ac:dyDescent="0.3">
      <c r="A391" t="s">
        <v>291</v>
      </c>
      <c r="B391" t="s">
        <v>294</v>
      </c>
      <c r="C391" t="s">
        <v>32</v>
      </c>
      <c r="D391">
        <v>16</v>
      </c>
      <c r="E391">
        <v>16</v>
      </c>
      <c r="F391">
        <v>3</v>
      </c>
      <c r="G391">
        <v>497</v>
      </c>
      <c r="H391" t="s">
        <v>252</v>
      </c>
      <c r="I391">
        <v>38.229999999999997</v>
      </c>
      <c r="J391">
        <v>363</v>
      </c>
      <c r="K391">
        <v>136.91</v>
      </c>
      <c r="L391">
        <v>0</v>
      </c>
      <c r="M391">
        <v>4</v>
      </c>
      <c r="N391">
        <v>1</v>
      </c>
      <c r="O391">
        <v>59</v>
      </c>
      <c r="P391">
        <v>14</v>
      </c>
      <c r="Q391" t="s">
        <v>37</v>
      </c>
      <c r="R391" t="s">
        <v>37</v>
      </c>
      <c r="S391" t="s">
        <v>37</v>
      </c>
      <c r="T391" t="s">
        <v>37</v>
      </c>
      <c r="U391" t="s">
        <v>37</v>
      </c>
      <c r="V391" t="s">
        <v>37</v>
      </c>
      <c r="W391" t="s">
        <v>37</v>
      </c>
      <c r="X391" t="s">
        <v>37</v>
      </c>
      <c r="Y391" t="s">
        <v>37</v>
      </c>
      <c r="Z391" t="s">
        <v>37</v>
      </c>
      <c r="AA391" t="s">
        <v>37</v>
      </c>
      <c r="AB391">
        <v>12</v>
      </c>
      <c r="AC391">
        <v>0</v>
      </c>
      <c r="AD391">
        <f t="shared" ca="1" si="6"/>
        <v>11</v>
      </c>
      <c r="AE391" t="e">
        <f>AVERAGE(Table1[[#This Row],[Runs Conceded]]/Table1[[#This Row],[Wickets Taken]])</f>
        <v>#VALUE!</v>
      </c>
    </row>
    <row r="392" spans="1:31" x14ac:dyDescent="0.3">
      <c r="A392" t="s">
        <v>291</v>
      </c>
      <c r="B392" t="s">
        <v>233</v>
      </c>
      <c r="C392" t="s">
        <v>28</v>
      </c>
      <c r="D392">
        <v>4</v>
      </c>
      <c r="E392">
        <v>4</v>
      </c>
      <c r="F392">
        <v>2</v>
      </c>
      <c r="G392">
        <v>65</v>
      </c>
      <c r="H392" t="s">
        <v>169</v>
      </c>
      <c r="I392">
        <v>32.5</v>
      </c>
      <c r="J392">
        <v>34</v>
      </c>
      <c r="K392">
        <v>191.17</v>
      </c>
      <c r="L392">
        <v>0</v>
      </c>
      <c r="M392">
        <v>0</v>
      </c>
      <c r="N392">
        <v>1</v>
      </c>
      <c r="O392">
        <v>4</v>
      </c>
      <c r="P392">
        <v>6</v>
      </c>
      <c r="Q392">
        <v>4</v>
      </c>
      <c r="R392">
        <v>11.1</v>
      </c>
      <c r="S392">
        <v>0</v>
      </c>
      <c r="T392">
        <v>80</v>
      </c>
      <c r="U392">
        <v>5</v>
      </c>
      <c r="V392" s="1">
        <v>43862</v>
      </c>
      <c r="W392">
        <v>16</v>
      </c>
      <c r="X392">
        <v>7.16</v>
      </c>
      <c r="Y392">
        <v>13.4</v>
      </c>
      <c r="Z392">
        <v>0</v>
      </c>
      <c r="AA392">
        <v>0</v>
      </c>
      <c r="AB392">
        <v>1</v>
      </c>
      <c r="AC392">
        <v>0</v>
      </c>
      <c r="AD392">
        <f t="shared" ca="1" si="6"/>
        <v>4</v>
      </c>
      <c r="AE392">
        <f>AVERAGE(Table1[[#This Row],[Runs Conceded]]/Table1[[#This Row],[Wickets Taken]])</f>
        <v>16</v>
      </c>
    </row>
    <row r="393" spans="1:31" x14ac:dyDescent="0.3">
      <c r="A393" t="s">
        <v>291</v>
      </c>
      <c r="B393" t="s">
        <v>233</v>
      </c>
      <c r="C393" t="s">
        <v>30</v>
      </c>
      <c r="D393">
        <v>4</v>
      </c>
      <c r="E393">
        <v>3</v>
      </c>
      <c r="F393">
        <v>1</v>
      </c>
      <c r="G393">
        <v>51</v>
      </c>
      <c r="H393">
        <v>20</v>
      </c>
      <c r="I393">
        <v>25.5</v>
      </c>
      <c r="J393">
        <v>26</v>
      </c>
      <c r="K393">
        <v>196.15</v>
      </c>
      <c r="L393">
        <v>0</v>
      </c>
      <c r="M393">
        <v>0</v>
      </c>
      <c r="N393">
        <v>0</v>
      </c>
      <c r="O393">
        <v>5</v>
      </c>
      <c r="P393">
        <v>3</v>
      </c>
      <c r="Q393">
        <v>4</v>
      </c>
      <c r="R393">
        <v>12.4</v>
      </c>
      <c r="S393">
        <v>0</v>
      </c>
      <c r="T393">
        <v>123</v>
      </c>
      <c r="U393">
        <v>1</v>
      </c>
      <c r="V393" s="1">
        <v>14977</v>
      </c>
      <c r="W393">
        <v>123</v>
      </c>
      <c r="X393">
        <v>9.7100000000000009</v>
      </c>
      <c r="Y393">
        <v>76</v>
      </c>
      <c r="Z393">
        <v>0</v>
      </c>
      <c r="AA393">
        <v>0</v>
      </c>
      <c r="AB393">
        <v>1</v>
      </c>
      <c r="AC393">
        <v>0</v>
      </c>
      <c r="AD393">
        <f t="shared" ca="1" si="6"/>
        <v>10</v>
      </c>
      <c r="AE393">
        <f>AVERAGE(Table1[[#This Row],[Runs Conceded]]/Table1[[#This Row],[Wickets Taken]])</f>
        <v>123</v>
      </c>
    </row>
    <row r="394" spans="1:31" x14ac:dyDescent="0.3">
      <c r="A394" t="s">
        <v>291</v>
      </c>
      <c r="B394" t="s">
        <v>135</v>
      </c>
      <c r="C394" t="s">
        <v>28</v>
      </c>
      <c r="D394">
        <v>10</v>
      </c>
      <c r="E394">
        <v>10</v>
      </c>
      <c r="F394">
        <v>1</v>
      </c>
      <c r="G394">
        <v>236</v>
      </c>
      <c r="H394">
        <v>44</v>
      </c>
      <c r="I394">
        <v>26.22</v>
      </c>
      <c r="J394">
        <v>179</v>
      </c>
      <c r="K394">
        <v>131.84</v>
      </c>
      <c r="L394">
        <v>0</v>
      </c>
      <c r="M394">
        <v>0</v>
      </c>
      <c r="N394">
        <v>0</v>
      </c>
      <c r="O394">
        <v>22</v>
      </c>
      <c r="P394">
        <v>13</v>
      </c>
      <c r="Q394">
        <v>5</v>
      </c>
      <c r="R394">
        <v>6.1</v>
      </c>
      <c r="S394">
        <v>0</v>
      </c>
      <c r="T394">
        <v>52</v>
      </c>
      <c r="U394">
        <v>0</v>
      </c>
      <c r="V394" t="s">
        <v>37</v>
      </c>
      <c r="W394" t="s">
        <v>37</v>
      </c>
      <c r="X394">
        <v>8.43</v>
      </c>
      <c r="Y394" t="s">
        <v>37</v>
      </c>
      <c r="Z394">
        <v>0</v>
      </c>
      <c r="AA394">
        <v>0</v>
      </c>
      <c r="AB394">
        <v>1</v>
      </c>
      <c r="AC394">
        <v>0</v>
      </c>
      <c r="AD394">
        <f t="shared" ca="1" si="6"/>
        <v>14</v>
      </c>
      <c r="AE394" t="e">
        <f>AVERAGE(Table1[[#This Row],[Runs Conceded]]/Table1[[#This Row],[Wickets Taken]])</f>
        <v>#DIV/0!</v>
      </c>
    </row>
    <row r="395" spans="1:31" x14ac:dyDescent="0.3">
      <c r="A395" t="s">
        <v>291</v>
      </c>
      <c r="B395" t="s">
        <v>135</v>
      </c>
      <c r="C395" t="s">
        <v>30</v>
      </c>
      <c r="D395">
        <v>12</v>
      </c>
      <c r="E395">
        <v>11</v>
      </c>
      <c r="F395">
        <v>2</v>
      </c>
      <c r="G395">
        <v>252</v>
      </c>
      <c r="H395" t="s">
        <v>295</v>
      </c>
      <c r="I395">
        <v>28</v>
      </c>
      <c r="J395">
        <v>177</v>
      </c>
      <c r="K395">
        <v>142.37</v>
      </c>
      <c r="L395">
        <v>0</v>
      </c>
      <c r="M395">
        <v>2</v>
      </c>
      <c r="N395">
        <v>1</v>
      </c>
      <c r="O395">
        <v>30</v>
      </c>
      <c r="P395">
        <v>8</v>
      </c>
      <c r="Q395">
        <v>2</v>
      </c>
      <c r="R395">
        <v>2</v>
      </c>
      <c r="S395">
        <v>0</v>
      </c>
      <c r="T395">
        <v>22</v>
      </c>
      <c r="U395">
        <v>1</v>
      </c>
      <c r="V395" s="2">
        <v>43983</v>
      </c>
      <c r="W395">
        <v>22</v>
      </c>
      <c r="X395">
        <v>11</v>
      </c>
      <c r="Y395">
        <v>12</v>
      </c>
      <c r="Z395">
        <v>0</v>
      </c>
      <c r="AA395">
        <v>0</v>
      </c>
      <c r="AB395">
        <v>3</v>
      </c>
      <c r="AC395">
        <v>0</v>
      </c>
      <c r="AD395">
        <f t="shared" ca="1" si="6"/>
        <v>6</v>
      </c>
      <c r="AE395">
        <f>AVERAGE(Table1[[#This Row],[Runs Conceded]]/Table1[[#This Row],[Wickets Taken]])</f>
        <v>22</v>
      </c>
    </row>
    <row r="396" spans="1:31" x14ac:dyDescent="0.3">
      <c r="A396" t="s">
        <v>291</v>
      </c>
      <c r="B396" t="s">
        <v>296</v>
      </c>
      <c r="C396" t="s">
        <v>28</v>
      </c>
      <c r="D396">
        <v>7</v>
      </c>
      <c r="E396">
        <v>4</v>
      </c>
      <c r="F396">
        <v>2</v>
      </c>
      <c r="G396">
        <v>51</v>
      </c>
      <c r="H396" t="s">
        <v>33</v>
      </c>
      <c r="I396">
        <v>25.5</v>
      </c>
      <c r="J396">
        <v>25</v>
      </c>
      <c r="K396">
        <v>204</v>
      </c>
      <c r="L396">
        <v>0</v>
      </c>
      <c r="M396">
        <v>0</v>
      </c>
      <c r="N396">
        <v>0</v>
      </c>
      <c r="O396">
        <v>1</v>
      </c>
      <c r="P396">
        <v>5</v>
      </c>
      <c r="Q396">
        <v>6</v>
      </c>
      <c r="R396">
        <v>14</v>
      </c>
      <c r="S396">
        <v>0</v>
      </c>
      <c r="T396">
        <v>121</v>
      </c>
      <c r="U396">
        <v>3</v>
      </c>
      <c r="V396" s="2">
        <v>44105</v>
      </c>
      <c r="W396">
        <v>40.33</v>
      </c>
      <c r="X396">
        <v>8.64</v>
      </c>
      <c r="Y396">
        <v>28</v>
      </c>
      <c r="Z396">
        <v>0</v>
      </c>
      <c r="AA396">
        <v>0</v>
      </c>
      <c r="AB396">
        <v>2</v>
      </c>
      <c r="AC396">
        <v>0</v>
      </c>
      <c r="AD396">
        <f t="shared" ca="1" si="6"/>
        <v>18</v>
      </c>
      <c r="AE396">
        <f>AVERAGE(Table1[[#This Row],[Runs Conceded]]/Table1[[#This Row],[Wickets Taken]])</f>
        <v>40.333333333333336</v>
      </c>
    </row>
    <row r="397" spans="1:31" x14ac:dyDescent="0.3">
      <c r="A397" t="s">
        <v>291</v>
      </c>
      <c r="B397" t="s">
        <v>296</v>
      </c>
      <c r="C397" t="s">
        <v>30</v>
      </c>
      <c r="D397">
        <v>7</v>
      </c>
      <c r="E397">
        <v>3</v>
      </c>
      <c r="F397">
        <v>2</v>
      </c>
      <c r="G397">
        <v>31</v>
      </c>
      <c r="H397" t="s">
        <v>297</v>
      </c>
      <c r="I397">
        <v>31</v>
      </c>
      <c r="J397">
        <v>24</v>
      </c>
      <c r="K397">
        <v>129.16</v>
      </c>
      <c r="L397">
        <v>0</v>
      </c>
      <c r="M397">
        <v>0</v>
      </c>
      <c r="N397">
        <v>0</v>
      </c>
      <c r="O397">
        <v>2</v>
      </c>
      <c r="P397">
        <v>1</v>
      </c>
      <c r="Q397">
        <v>7</v>
      </c>
      <c r="R397">
        <v>16.2</v>
      </c>
      <c r="S397">
        <v>0</v>
      </c>
      <c r="T397">
        <v>129</v>
      </c>
      <c r="U397">
        <v>3</v>
      </c>
      <c r="V397" s="2">
        <v>43922</v>
      </c>
      <c r="W397">
        <v>43</v>
      </c>
      <c r="X397">
        <v>7.89</v>
      </c>
      <c r="Y397">
        <v>32.6</v>
      </c>
      <c r="Z397">
        <v>0</v>
      </c>
      <c r="AA397">
        <v>0</v>
      </c>
      <c r="AB397">
        <v>1</v>
      </c>
      <c r="AC397">
        <v>0</v>
      </c>
      <c r="AD397">
        <f t="shared" ca="1" si="6"/>
        <v>7</v>
      </c>
      <c r="AE397">
        <f>AVERAGE(Table1[[#This Row],[Runs Conceded]]/Table1[[#This Row],[Wickets Taken]])</f>
        <v>43</v>
      </c>
    </row>
    <row r="398" spans="1:31" x14ac:dyDescent="0.3">
      <c r="A398" t="s">
        <v>291</v>
      </c>
      <c r="B398" t="s">
        <v>136</v>
      </c>
      <c r="C398" t="s">
        <v>28</v>
      </c>
      <c r="D398">
        <v>7</v>
      </c>
      <c r="E398">
        <v>6</v>
      </c>
      <c r="F398">
        <v>1</v>
      </c>
      <c r="G398">
        <v>123</v>
      </c>
      <c r="H398">
        <v>51</v>
      </c>
      <c r="I398">
        <v>24.6</v>
      </c>
      <c r="J398">
        <v>105</v>
      </c>
      <c r="K398">
        <v>117.14</v>
      </c>
      <c r="L398">
        <v>0</v>
      </c>
      <c r="M398">
        <v>1</v>
      </c>
      <c r="N398">
        <v>1</v>
      </c>
      <c r="O398">
        <v>8</v>
      </c>
      <c r="P398">
        <v>4</v>
      </c>
      <c r="Q398" t="s">
        <v>37</v>
      </c>
      <c r="R398" t="s">
        <v>37</v>
      </c>
      <c r="S398" t="s">
        <v>37</v>
      </c>
      <c r="T398" t="s">
        <v>37</v>
      </c>
      <c r="U398" t="s">
        <v>37</v>
      </c>
      <c r="V398" t="s">
        <v>37</v>
      </c>
      <c r="W398" t="s">
        <v>37</v>
      </c>
      <c r="X398" t="s">
        <v>37</v>
      </c>
      <c r="Y398" t="s">
        <v>37</v>
      </c>
      <c r="Z398" t="s">
        <v>37</v>
      </c>
      <c r="AA398" t="s">
        <v>37</v>
      </c>
      <c r="AB398">
        <v>3</v>
      </c>
      <c r="AC398">
        <v>0</v>
      </c>
      <c r="AD398">
        <f t="shared" ca="1" si="6"/>
        <v>11</v>
      </c>
      <c r="AE398" t="e">
        <f>AVERAGE(Table1[[#This Row],[Runs Conceded]]/Table1[[#This Row],[Wickets Taken]])</f>
        <v>#VALUE!</v>
      </c>
    </row>
    <row r="399" spans="1:31" x14ac:dyDescent="0.3">
      <c r="A399" t="s">
        <v>291</v>
      </c>
      <c r="B399" t="s">
        <v>298</v>
      </c>
      <c r="C399" t="s">
        <v>28</v>
      </c>
      <c r="D399">
        <v>4</v>
      </c>
      <c r="E399">
        <v>3</v>
      </c>
      <c r="F399">
        <v>1</v>
      </c>
      <c r="G399">
        <v>47</v>
      </c>
      <c r="H399">
        <v>32</v>
      </c>
      <c r="I399">
        <v>23.5</v>
      </c>
      <c r="J399">
        <v>29</v>
      </c>
      <c r="K399">
        <v>162.06</v>
      </c>
      <c r="L399">
        <v>0</v>
      </c>
      <c r="M399">
        <v>0</v>
      </c>
      <c r="N399">
        <v>0</v>
      </c>
      <c r="O399">
        <v>2</v>
      </c>
      <c r="P399">
        <v>4</v>
      </c>
      <c r="Q399">
        <v>2</v>
      </c>
      <c r="R399">
        <v>3.5</v>
      </c>
      <c r="S399">
        <v>0</v>
      </c>
      <c r="T399">
        <v>39</v>
      </c>
      <c r="U399">
        <v>1</v>
      </c>
      <c r="V399" s="1">
        <v>41640</v>
      </c>
      <c r="W399">
        <v>39</v>
      </c>
      <c r="X399">
        <v>10.17</v>
      </c>
      <c r="Y399">
        <v>23</v>
      </c>
      <c r="Z399">
        <v>0</v>
      </c>
      <c r="AA399">
        <v>0</v>
      </c>
      <c r="AB399">
        <v>1</v>
      </c>
      <c r="AC399">
        <v>0</v>
      </c>
      <c r="AD399">
        <f t="shared" ca="1" si="6"/>
        <v>15</v>
      </c>
      <c r="AE399">
        <f>AVERAGE(Table1[[#This Row],[Runs Conceded]]/Table1[[#This Row],[Wickets Taken]])</f>
        <v>39</v>
      </c>
    </row>
    <row r="400" spans="1:31" x14ac:dyDescent="0.3">
      <c r="A400" t="s">
        <v>291</v>
      </c>
      <c r="B400" t="s">
        <v>299</v>
      </c>
      <c r="C400" t="s">
        <v>28</v>
      </c>
      <c r="D400">
        <v>6</v>
      </c>
      <c r="E400">
        <v>6</v>
      </c>
      <c r="F400">
        <v>0</v>
      </c>
      <c r="G400">
        <v>124</v>
      </c>
      <c r="H400">
        <v>50</v>
      </c>
      <c r="I400">
        <v>20.66</v>
      </c>
      <c r="J400">
        <v>122</v>
      </c>
      <c r="K400">
        <v>101.63</v>
      </c>
      <c r="L400">
        <v>0</v>
      </c>
      <c r="M400">
        <v>1</v>
      </c>
      <c r="N400">
        <v>0</v>
      </c>
      <c r="O400">
        <v>14</v>
      </c>
      <c r="P400">
        <v>0</v>
      </c>
      <c r="Q400">
        <v>1</v>
      </c>
      <c r="R400">
        <v>1</v>
      </c>
      <c r="S400">
        <v>0</v>
      </c>
      <c r="T400">
        <v>7</v>
      </c>
      <c r="U400">
        <v>0</v>
      </c>
      <c r="V400" t="s">
        <v>37</v>
      </c>
      <c r="W400" t="s">
        <v>37</v>
      </c>
      <c r="X400">
        <v>7</v>
      </c>
      <c r="Y400" t="s">
        <v>37</v>
      </c>
      <c r="Z400">
        <v>0</v>
      </c>
      <c r="AA400">
        <v>0</v>
      </c>
      <c r="AB400">
        <v>5</v>
      </c>
      <c r="AC400">
        <v>0</v>
      </c>
      <c r="AD400">
        <f t="shared" ca="1" si="6"/>
        <v>14</v>
      </c>
      <c r="AE400" t="e">
        <f>AVERAGE(Table1[[#This Row],[Runs Conceded]]/Table1[[#This Row],[Wickets Taken]])</f>
        <v>#DIV/0!</v>
      </c>
    </row>
    <row r="401" spans="1:31" x14ac:dyDescent="0.3">
      <c r="A401" t="s">
        <v>291</v>
      </c>
      <c r="B401" t="s">
        <v>299</v>
      </c>
      <c r="C401" t="s">
        <v>30</v>
      </c>
      <c r="D401">
        <v>7</v>
      </c>
      <c r="E401">
        <v>7</v>
      </c>
      <c r="F401">
        <v>1</v>
      </c>
      <c r="G401">
        <v>256</v>
      </c>
      <c r="H401">
        <v>89</v>
      </c>
      <c r="I401">
        <v>42.66</v>
      </c>
      <c r="J401">
        <v>169</v>
      </c>
      <c r="K401">
        <v>151.47</v>
      </c>
      <c r="L401">
        <v>0</v>
      </c>
      <c r="M401">
        <v>2</v>
      </c>
      <c r="N401">
        <v>0</v>
      </c>
      <c r="O401">
        <v>20</v>
      </c>
      <c r="P401">
        <v>10</v>
      </c>
      <c r="Q401" t="s">
        <v>37</v>
      </c>
      <c r="R401" t="s">
        <v>37</v>
      </c>
      <c r="S401" t="s">
        <v>37</v>
      </c>
      <c r="T401" t="s">
        <v>37</v>
      </c>
      <c r="U401" t="s">
        <v>37</v>
      </c>
      <c r="V401" t="s">
        <v>37</v>
      </c>
      <c r="W401" t="s">
        <v>37</v>
      </c>
      <c r="X401" t="s">
        <v>37</v>
      </c>
      <c r="Y401" t="s">
        <v>37</v>
      </c>
      <c r="Z401" t="s">
        <v>37</v>
      </c>
      <c r="AA401" t="s">
        <v>37</v>
      </c>
      <c r="AB401">
        <v>1</v>
      </c>
      <c r="AC401">
        <v>0</v>
      </c>
      <c r="AD401">
        <f t="shared" ca="1" si="6"/>
        <v>5</v>
      </c>
      <c r="AE401" t="e">
        <f>AVERAGE(Table1[[#This Row],[Runs Conceded]]/Table1[[#This Row],[Wickets Taken]])</f>
        <v>#VALUE!</v>
      </c>
    </row>
    <row r="402" spans="1:31" x14ac:dyDescent="0.3">
      <c r="A402" t="s">
        <v>291</v>
      </c>
      <c r="B402" t="s">
        <v>299</v>
      </c>
      <c r="C402" t="s">
        <v>32</v>
      </c>
      <c r="D402">
        <v>17</v>
      </c>
      <c r="E402">
        <v>17</v>
      </c>
      <c r="F402">
        <v>3</v>
      </c>
      <c r="G402">
        <v>735</v>
      </c>
      <c r="H402">
        <v>84</v>
      </c>
      <c r="I402">
        <v>52.5</v>
      </c>
      <c r="J402">
        <v>516</v>
      </c>
      <c r="K402">
        <v>142.44</v>
      </c>
      <c r="L402">
        <v>0</v>
      </c>
      <c r="M402">
        <v>8</v>
      </c>
      <c r="N402">
        <v>1</v>
      </c>
      <c r="O402">
        <v>63</v>
      </c>
      <c r="P402">
        <v>28</v>
      </c>
      <c r="Q402" t="s">
        <v>37</v>
      </c>
      <c r="R402" t="s">
        <v>37</v>
      </c>
      <c r="S402" t="s">
        <v>37</v>
      </c>
      <c r="T402" t="s">
        <v>37</v>
      </c>
      <c r="U402" t="s">
        <v>37</v>
      </c>
      <c r="V402" t="s">
        <v>37</v>
      </c>
      <c r="W402" t="s">
        <v>37</v>
      </c>
      <c r="X402" t="s">
        <v>37</v>
      </c>
      <c r="Y402" t="s">
        <v>37</v>
      </c>
      <c r="Z402" t="s">
        <v>37</v>
      </c>
      <c r="AA402" t="s">
        <v>37</v>
      </c>
      <c r="AB402">
        <v>6</v>
      </c>
      <c r="AC402">
        <v>0</v>
      </c>
      <c r="AD402">
        <f t="shared" ca="1" si="6"/>
        <v>10</v>
      </c>
      <c r="AE402" t="e">
        <f>AVERAGE(Table1[[#This Row],[Runs Conceded]]/Table1[[#This Row],[Wickets Taken]])</f>
        <v>#VALUE!</v>
      </c>
    </row>
    <row r="403" spans="1:31" x14ac:dyDescent="0.3">
      <c r="A403" t="s">
        <v>291</v>
      </c>
      <c r="B403" t="s">
        <v>299</v>
      </c>
      <c r="C403" t="s">
        <v>92</v>
      </c>
      <c r="D403">
        <v>9</v>
      </c>
      <c r="E403">
        <v>9</v>
      </c>
      <c r="F403">
        <v>2</v>
      </c>
      <c r="G403">
        <v>156</v>
      </c>
      <c r="H403" t="s">
        <v>295</v>
      </c>
      <c r="I403">
        <v>22.28</v>
      </c>
      <c r="J403">
        <v>130</v>
      </c>
      <c r="K403">
        <v>120</v>
      </c>
      <c r="L403">
        <v>0</v>
      </c>
      <c r="M403">
        <v>1</v>
      </c>
      <c r="N403">
        <v>0</v>
      </c>
      <c r="O403">
        <v>12</v>
      </c>
      <c r="P403">
        <v>5</v>
      </c>
      <c r="Q403" t="s">
        <v>37</v>
      </c>
      <c r="R403" t="s">
        <v>37</v>
      </c>
      <c r="S403" t="s">
        <v>37</v>
      </c>
      <c r="T403" t="s">
        <v>37</v>
      </c>
      <c r="U403" t="s">
        <v>37</v>
      </c>
      <c r="V403" t="s">
        <v>37</v>
      </c>
      <c r="W403" t="s">
        <v>37</v>
      </c>
      <c r="X403" t="s">
        <v>37</v>
      </c>
      <c r="Y403" t="s">
        <v>37</v>
      </c>
      <c r="Z403" t="s">
        <v>37</v>
      </c>
      <c r="AA403" t="s">
        <v>37</v>
      </c>
      <c r="AB403">
        <v>2</v>
      </c>
      <c r="AC403">
        <v>0</v>
      </c>
      <c r="AD403">
        <f t="shared" ca="1" si="6"/>
        <v>12</v>
      </c>
      <c r="AE403" t="e">
        <f>AVERAGE(Table1[[#This Row],[Runs Conceded]]/Table1[[#This Row],[Wickets Taken]])</f>
        <v>#VALUE!</v>
      </c>
    </row>
    <row r="404" spans="1:31" x14ac:dyDescent="0.3">
      <c r="A404" t="s">
        <v>291</v>
      </c>
      <c r="B404" t="s">
        <v>300</v>
      </c>
      <c r="C404" t="s">
        <v>28</v>
      </c>
      <c r="D404">
        <v>17</v>
      </c>
      <c r="E404">
        <v>15</v>
      </c>
      <c r="F404">
        <v>3</v>
      </c>
      <c r="G404">
        <v>182</v>
      </c>
      <c r="H404" t="s">
        <v>301</v>
      </c>
      <c r="I404">
        <v>15.16</v>
      </c>
      <c r="J404">
        <v>158</v>
      </c>
      <c r="K404">
        <v>115.18</v>
      </c>
      <c r="L404">
        <v>0</v>
      </c>
      <c r="M404">
        <v>0</v>
      </c>
      <c r="N404">
        <v>1</v>
      </c>
      <c r="O404">
        <v>15</v>
      </c>
      <c r="P404">
        <v>6</v>
      </c>
      <c r="Q404">
        <v>17</v>
      </c>
      <c r="R404">
        <v>52</v>
      </c>
      <c r="S404">
        <v>0</v>
      </c>
      <c r="T404">
        <v>415</v>
      </c>
      <c r="U404">
        <v>12</v>
      </c>
      <c r="V404" s="1">
        <v>42767</v>
      </c>
      <c r="W404">
        <v>34.58</v>
      </c>
      <c r="X404">
        <v>7.98</v>
      </c>
      <c r="Y404">
        <v>26</v>
      </c>
      <c r="Z404">
        <v>0</v>
      </c>
      <c r="AA404">
        <v>0</v>
      </c>
      <c r="AB404">
        <v>11</v>
      </c>
      <c r="AC404">
        <v>0</v>
      </c>
      <c r="AD404">
        <f t="shared" ca="1" si="6"/>
        <v>10</v>
      </c>
      <c r="AE404">
        <f>AVERAGE(Table1[[#This Row],[Runs Conceded]]/Table1[[#This Row],[Wickets Taken]])</f>
        <v>34.583333333333336</v>
      </c>
    </row>
    <row r="405" spans="1:31" x14ac:dyDescent="0.3">
      <c r="A405" t="s">
        <v>291</v>
      </c>
      <c r="B405" t="s">
        <v>300</v>
      </c>
      <c r="C405" t="s">
        <v>30</v>
      </c>
      <c r="D405">
        <v>12</v>
      </c>
      <c r="E405">
        <v>11</v>
      </c>
      <c r="F405">
        <v>5</v>
      </c>
      <c r="G405">
        <v>277</v>
      </c>
      <c r="H405" t="s">
        <v>154</v>
      </c>
      <c r="I405">
        <v>46.16</v>
      </c>
      <c r="J405">
        <v>203</v>
      </c>
      <c r="K405">
        <v>136.44999999999999</v>
      </c>
      <c r="L405">
        <v>0</v>
      </c>
      <c r="M405">
        <v>3</v>
      </c>
      <c r="N405">
        <v>0</v>
      </c>
      <c r="O405">
        <v>28</v>
      </c>
      <c r="P405">
        <v>4</v>
      </c>
      <c r="Q405">
        <v>12</v>
      </c>
      <c r="R405">
        <v>24</v>
      </c>
      <c r="S405">
        <v>0</v>
      </c>
      <c r="T405">
        <v>248</v>
      </c>
      <c r="U405">
        <v>1</v>
      </c>
      <c r="V405" s="2">
        <v>43983</v>
      </c>
      <c r="W405">
        <v>248</v>
      </c>
      <c r="X405">
        <v>10.33</v>
      </c>
      <c r="Y405">
        <v>144</v>
      </c>
      <c r="Z405">
        <v>0</v>
      </c>
      <c r="AA405">
        <v>0</v>
      </c>
      <c r="AB405">
        <v>5</v>
      </c>
      <c r="AC405">
        <v>0</v>
      </c>
      <c r="AD405">
        <f t="shared" ca="1" si="6"/>
        <v>3</v>
      </c>
      <c r="AE405">
        <f>AVERAGE(Table1[[#This Row],[Runs Conceded]]/Table1[[#This Row],[Wickets Taken]])</f>
        <v>248</v>
      </c>
    </row>
    <row r="406" spans="1:31" x14ac:dyDescent="0.3">
      <c r="A406" t="s">
        <v>291</v>
      </c>
      <c r="B406" t="s">
        <v>67</v>
      </c>
      <c r="C406" t="s">
        <v>28</v>
      </c>
      <c r="D406">
        <v>17</v>
      </c>
      <c r="E406">
        <v>13</v>
      </c>
      <c r="F406">
        <v>3</v>
      </c>
      <c r="G406">
        <v>136</v>
      </c>
      <c r="H406">
        <v>37</v>
      </c>
      <c r="I406">
        <v>13.6</v>
      </c>
      <c r="J406">
        <v>138</v>
      </c>
      <c r="K406">
        <v>98.55</v>
      </c>
      <c r="L406">
        <v>0</v>
      </c>
      <c r="M406">
        <v>0</v>
      </c>
      <c r="N406">
        <v>1</v>
      </c>
      <c r="O406">
        <v>7</v>
      </c>
      <c r="P406">
        <v>5</v>
      </c>
      <c r="Q406" t="s">
        <v>37</v>
      </c>
      <c r="R406" t="s">
        <v>37</v>
      </c>
      <c r="S406" t="s">
        <v>37</v>
      </c>
      <c r="T406" t="s">
        <v>37</v>
      </c>
      <c r="U406" t="s">
        <v>37</v>
      </c>
      <c r="V406" t="s">
        <v>37</v>
      </c>
      <c r="W406" t="s">
        <v>37</v>
      </c>
      <c r="X406" t="s">
        <v>37</v>
      </c>
      <c r="Y406" t="s">
        <v>37</v>
      </c>
      <c r="Z406" t="s">
        <v>37</v>
      </c>
      <c r="AA406" t="s">
        <v>37</v>
      </c>
      <c r="AB406">
        <v>18</v>
      </c>
      <c r="AC406">
        <v>0</v>
      </c>
      <c r="AD406">
        <f t="shared" ca="1" si="6"/>
        <v>9</v>
      </c>
      <c r="AE406" t="e">
        <f>AVERAGE(Table1[[#This Row],[Runs Conceded]]/Table1[[#This Row],[Wickets Taken]])</f>
        <v>#VALUE!</v>
      </c>
    </row>
    <row r="407" spans="1:31" x14ac:dyDescent="0.3">
      <c r="A407" t="s">
        <v>291</v>
      </c>
      <c r="B407" t="s">
        <v>67</v>
      </c>
      <c r="C407" t="s">
        <v>30</v>
      </c>
      <c r="D407">
        <v>14</v>
      </c>
      <c r="E407">
        <v>5</v>
      </c>
      <c r="F407">
        <v>1</v>
      </c>
      <c r="G407">
        <v>79</v>
      </c>
      <c r="H407">
        <v>34</v>
      </c>
      <c r="I407">
        <v>19.75</v>
      </c>
      <c r="J407">
        <v>65</v>
      </c>
      <c r="K407">
        <v>121.53</v>
      </c>
      <c r="L407">
        <v>0</v>
      </c>
      <c r="M407">
        <v>0</v>
      </c>
      <c r="N407">
        <v>0</v>
      </c>
      <c r="O407">
        <v>2</v>
      </c>
      <c r="P407">
        <v>3</v>
      </c>
      <c r="Q407" t="s">
        <v>37</v>
      </c>
      <c r="R407" t="s">
        <v>37</v>
      </c>
      <c r="S407" t="s">
        <v>37</v>
      </c>
      <c r="T407" t="s">
        <v>37</v>
      </c>
      <c r="U407" t="s">
        <v>37</v>
      </c>
      <c r="V407" t="s">
        <v>37</v>
      </c>
      <c r="W407" t="s">
        <v>37</v>
      </c>
      <c r="X407" t="s">
        <v>37</v>
      </c>
      <c r="Y407" t="s">
        <v>37</v>
      </c>
      <c r="Z407" t="s">
        <v>37</v>
      </c>
      <c r="AA407" t="s">
        <v>37</v>
      </c>
      <c r="AB407">
        <v>6</v>
      </c>
      <c r="AC407">
        <v>0</v>
      </c>
      <c r="AD407">
        <f t="shared" ca="1" si="6"/>
        <v>4</v>
      </c>
      <c r="AE407" t="e">
        <f>AVERAGE(Table1[[#This Row],[Runs Conceded]]/Table1[[#This Row],[Wickets Taken]])</f>
        <v>#VALUE!</v>
      </c>
    </row>
    <row r="408" spans="1:31" x14ac:dyDescent="0.3">
      <c r="A408" t="s">
        <v>291</v>
      </c>
      <c r="B408" t="s">
        <v>302</v>
      </c>
      <c r="C408" t="s">
        <v>28</v>
      </c>
      <c r="D408">
        <v>17</v>
      </c>
      <c r="E408">
        <v>15</v>
      </c>
      <c r="F408">
        <v>1</v>
      </c>
      <c r="G408">
        <v>144</v>
      </c>
      <c r="H408">
        <v>34</v>
      </c>
      <c r="I408">
        <v>10.28</v>
      </c>
      <c r="J408">
        <v>121</v>
      </c>
      <c r="K408">
        <v>119</v>
      </c>
      <c r="L408">
        <v>0</v>
      </c>
      <c r="M408">
        <v>0</v>
      </c>
      <c r="N408">
        <v>0</v>
      </c>
      <c r="O408">
        <v>9</v>
      </c>
      <c r="P408">
        <v>5</v>
      </c>
      <c r="Q408">
        <v>6</v>
      </c>
      <c r="R408">
        <v>13</v>
      </c>
      <c r="S408">
        <v>0</v>
      </c>
      <c r="T408">
        <v>97</v>
      </c>
      <c r="U408">
        <v>3</v>
      </c>
      <c r="V408" s="1">
        <v>42401</v>
      </c>
      <c r="W408">
        <v>32.33</v>
      </c>
      <c r="X408">
        <v>7.46</v>
      </c>
      <c r="Y408">
        <v>26</v>
      </c>
      <c r="Z408">
        <v>0</v>
      </c>
      <c r="AA408">
        <v>0</v>
      </c>
      <c r="AB408">
        <v>3</v>
      </c>
      <c r="AC408">
        <v>0</v>
      </c>
      <c r="AD408">
        <f t="shared" ca="1" si="6"/>
        <v>8</v>
      </c>
      <c r="AE408">
        <f>AVERAGE(Table1[[#This Row],[Runs Conceded]]/Table1[[#This Row],[Wickets Taken]])</f>
        <v>32.333333333333336</v>
      </c>
    </row>
    <row r="409" spans="1:31" x14ac:dyDescent="0.3">
      <c r="A409" t="s">
        <v>291</v>
      </c>
      <c r="B409" t="s">
        <v>302</v>
      </c>
      <c r="C409" t="s">
        <v>30</v>
      </c>
      <c r="D409">
        <v>10</v>
      </c>
      <c r="E409">
        <v>6</v>
      </c>
      <c r="F409">
        <v>3</v>
      </c>
      <c r="G409">
        <v>78</v>
      </c>
      <c r="H409" t="s">
        <v>41</v>
      </c>
      <c r="I409">
        <v>26</v>
      </c>
      <c r="J409">
        <v>52</v>
      </c>
      <c r="K409">
        <v>150</v>
      </c>
      <c r="L409">
        <v>0</v>
      </c>
      <c r="M409">
        <v>0</v>
      </c>
      <c r="N409">
        <v>0</v>
      </c>
      <c r="O409">
        <v>5</v>
      </c>
      <c r="P409">
        <v>4</v>
      </c>
      <c r="Q409">
        <v>3</v>
      </c>
      <c r="R409">
        <v>4</v>
      </c>
      <c r="S409">
        <v>0</v>
      </c>
      <c r="T409">
        <v>42</v>
      </c>
      <c r="U409">
        <v>2</v>
      </c>
      <c r="V409" s="2">
        <v>44013</v>
      </c>
      <c r="W409">
        <v>21</v>
      </c>
      <c r="X409">
        <v>10.5</v>
      </c>
      <c r="Y409">
        <v>12</v>
      </c>
      <c r="Z409">
        <v>0</v>
      </c>
      <c r="AA409">
        <v>0</v>
      </c>
      <c r="AB409">
        <v>5</v>
      </c>
      <c r="AC409">
        <v>0</v>
      </c>
      <c r="AD409">
        <f t="shared" ca="1" si="6"/>
        <v>7</v>
      </c>
      <c r="AE409">
        <f>AVERAGE(Table1[[#This Row],[Runs Conceded]]/Table1[[#This Row],[Wickets Taken]])</f>
        <v>21</v>
      </c>
    </row>
    <row r="410" spans="1:31" x14ac:dyDescent="0.3">
      <c r="A410" t="s">
        <v>291</v>
      </c>
      <c r="B410" t="s">
        <v>302</v>
      </c>
      <c r="C410" t="s">
        <v>32</v>
      </c>
      <c r="D410">
        <v>9</v>
      </c>
      <c r="E410">
        <v>8</v>
      </c>
      <c r="F410">
        <v>4</v>
      </c>
      <c r="G410">
        <v>87</v>
      </c>
      <c r="H410" t="s">
        <v>303</v>
      </c>
      <c r="I410">
        <v>21.75</v>
      </c>
      <c r="J410">
        <v>81</v>
      </c>
      <c r="K410">
        <v>107.4</v>
      </c>
      <c r="L410">
        <v>0</v>
      </c>
      <c r="M410">
        <v>0</v>
      </c>
      <c r="N410">
        <v>0</v>
      </c>
      <c r="O410">
        <v>2</v>
      </c>
      <c r="P410">
        <v>3</v>
      </c>
      <c r="Q410">
        <v>2</v>
      </c>
      <c r="R410">
        <v>3</v>
      </c>
      <c r="S410">
        <v>0</v>
      </c>
      <c r="T410">
        <v>24</v>
      </c>
      <c r="U410">
        <v>0</v>
      </c>
      <c r="V410" t="s">
        <v>37</v>
      </c>
      <c r="W410" t="s">
        <v>37</v>
      </c>
      <c r="X410">
        <v>8</v>
      </c>
      <c r="Y410" t="s">
        <v>37</v>
      </c>
      <c r="Z410">
        <v>0</v>
      </c>
      <c r="AA410">
        <v>0</v>
      </c>
      <c r="AB410">
        <v>3</v>
      </c>
      <c r="AC410">
        <v>0</v>
      </c>
      <c r="AD410">
        <f t="shared" ca="1" si="6"/>
        <v>5</v>
      </c>
      <c r="AE410" t="e">
        <f>AVERAGE(Table1[[#This Row],[Runs Conceded]]/Table1[[#This Row],[Wickets Taken]])</f>
        <v>#DIV/0!</v>
      </c>
    </row>
    <row r="411" spans="1:31" x14ac:dyDescent="0.3">
      <c r="A411" t="s">
        <v>291</v>
      </c>
      <c r="B411" t="s">
        <v>302</v>
      </c>
      <c r="C411" t="s">
        <v>92</v>
      </c>
      <c r="D411">
        <v>11</v>
      </c>
      <c r="E411">
        <v>7</v>
      </c>
      <c r="F411">
        <v>1</v>
      </c>
      <c r="G411">
        <v>64</v>
      </c>
      <c r="H411">
        <v>20</v>
      </c>
      <c r="I411">
        <v>10.66</v>
      </c>
      <c r="J411">
        <v>63</v>
      </c>
      <c r="K411">
        <v>101.58</v>
      </c>
      <c r="L411">
        <v>0</v>
      </c>
      <c r="M411">
        <v>0</v>
      </c>
      <c r="N411">
        <v>1</v>
      </c>
      <c r="O411">
        <v>5</v>
      </c>
      <c r="P411">
        <v>1</v>
      </c>
      <c r="Q411">
        <v>2</v>
      </c>
      <c r="R411">
        <v>2</v>
      </c>
      <c r="S411">
        <v>0</v>
      </c>
      <c r="T411">
        <v>21</v>
      </c>
      <c r="U411">
        <v>1</v>
      </c>
      <c r="V411" s="1">
        <v>41275</v>
      </c>
      <c r="W411">
        <v>21</v>
      </c>
      <c r="X411">
        <v>10.5</v>
      </c>
      <c r="Y411">
        <v>12</v>
      </c>
      <c r="Z411">
        <v>0</v>
      </c>
      <c r="AA411">
        <v>0</v>
      </c>
      <c r="AB411">
        <v>10</v>
      </c>
      <c r="AC411">
        <v>0</v>
      </c>
      <c r="AD411">
        <f t="shared" ca="1" si="6"/>
        <v>14</v>
      </c>
      <c r="AE411">
        <f>AVERAGE(Table1[[#This Row],[Runs Conceded]]/Table1[[#This Row],[Wickets Taken]])</f>
        <v>21</v>
      </c>
    </row>
    <row r="412" spans="1:31" x14ac:dyDescent="0.3">
      <c r="A412" t="s">
        <v>291</v>
      </c>
      <c r="B412" t="s">
        <v>304</v>
      </c>
      <c r="C412" t="s">
        <v>28</v>
      </c>
      <c r="D412">
        <v>17</v>
      </c>
      <c r="E412">
        <v>8</v>
      </c>
      <c r="F412">
        <v>2</v>
      </c>
      <c r="G412">
        <v>43</v>
      </c>
      <c r="H412">
        <v>21</v>
      </c>
      <c r="I412">
        <v>7.16</v>
      </c>
      <c r="J412">
        <v>27</v>
      </c>
      <c r="K412">
        <v>159.25</v>
      </c>
      <c r="L412">
        <v>0</v>
      </c>
      <c r="M412">
        <v>0</v>
      </c>
      <c r="N412">
        <v>0</v>
      </c>
      <c r="O412">
        <v>6</v>
      </c>
      <c r="P412">
        <v>1</v>
      </c>
      <c r="Q412">
        <v>17</v>
      </c>
      <c r="R412">
        <v>66</v>
      </c>
      <c r="S412">
        <v>3</v>
      </c>
      <c r="T412">
        <v>490</v>
      </c>
      <c r="U412">
        <v>23</v>
      </c>
      <c r="V412" s="1">
        <v>47209</v>
      </c>
      <c r="W412">
        <v>21.3</v>
      </c>
      <c r="X412">
        <v>7.42</v>
      </c>
      <c r="Y412">
        <v>17.2</v>
      </c>
      <c r="Z412">
        <v>1</v>
      </c>
      <c r="AA412">
        <v>0</v>
      </c>
      <c r="AB412">
        <v>6</v>
      </c>
      <c r="AC412">
        <v>0</v>
      </c>
      <c r="AD412">
        <f t="shared" ca="1" si="6"/>
        <v>14</v>
      </c>
      <c r="AE412">
        <f>AVERAGE(Table1[[#This Row],[Runs Conceded]]/Table1[[#This Row],[Wickets Taken]])</f>
        <v>21.304347826086957</v>
      </c>
    </row>
    <row r="413" spans="1:31" x14ac:dyDescent="0.3">
      <c r="A413" t="s">
        <v>291</v>
      </c>
      <c r="B413" t="s">
        <v>304</v>
      </c>
      <c r="C413" t="s">
        <v>30</v>
      </c>
      <c r="D413">
        <v>14</v>
      </c>
      <c r="E413">
        <v>2</v>
      </c>
      <c r="F413">
        <v>1</v>
      </c>
      <c r="G413">
        <v>4</v>
      </c>
      <c r="H413" t="s">
        <v>113</v>
      </c>
      <c r="I413">
        <v>4</v>
      </c>
      <c r="J413">
        <v>4</v>
      </c>
      <c r="K413">
        <v>100</v>
      </c>
      <c r="L413">
        <v>0</v>
      </c>
      <c r="M413">
        <v>0</v>
      </c>
      <c r="N413">
        <v>1</v>
      </c>
      <c r="O413">
        <v>0</v>
      </c>
      <c r="P413">
        <v>0</v>
      </c>
      <c r="Q413">
        <v>14</v>
      </c>
      <c r="R413">
        <v>52.2</v>
      </c>
      <c r="S413">
        <v>0</v>
      </c>
      <c r="T413">
        <v>369</v>
      </c>
      <c r="U413">
        <v>26</v>
      </c>
      <c r="V413" s="1">
        <v>43586</v>
      </c>
      <c r="W413">
        <v>14.19</v>
      </c>
      <c r="X413">
        <v>7.05</v>
      </c>
      <c r="Y413">
        <v>12</v>
      </c>
      <c r="Z413">
        <v>0</v>
      </c>
      <c r="AA413">
        <v>1</v>
      </c>
      <c r="AB413">
        <v>4</v>
      </c>
      <c r="AC413">
        <v>0</v>
      </c>
      <c r="AD413">
        <f t="shared" ca="1" si="6"/>
        <v>14</v>
      </c>
      <c r="AE413">
        <f>AVERAGE(Table1[[#This Row],[Runs Conceded]]/Table1[[#This Row],[Wickets Taken]])</f>
        <v>14.192307692307692</v>
      </c>
    </row>
    <row r="414" spans="1:31" x14ac:dyDescent="0.3">
      <c r="A414" t="s">
        <v>291</v>
      </c>
      <c r="B414" t="s">
        <v>304</v>
      </c>
      <c r="C414" t="s">
        <v>32</v>
      </c>
      <c r="D414">
        <v>12</v>
      </c>
      <c r="E414">
        <v>4</v>
      </c>
      <c r="F414">
        <v>2</v>
      </c>
      <c r="G414">
        <v>13</v>
      </c>
      <c r="H414">
        <v>7</v>
      </c>
      <c r="I414">
        <v>6.5</v>
      </c>
      <c r="J414">
        <v>16</v>
      </c>
      <c r="K414">
        <v>81.25</v>
      </c>
      <c r="L414">
        <v>0</v>
      </c>
      <c r="M414">
        <v>0</v>
      </c>
      <c r="N414">
        <v>1</v>
      </c>
      <c r="O414">
        <v>1</v>
      </c>
      <c r="P414">
        <v>0</v>
      </c>
      <c r="Q414">
        <v>12</v>
      </c>
      <c r="R414">
        <v>46.1</v>
      </c>
      <c r="S414">
        <v>1</v>
      </c>
      <c r="T414">
        <v>354</v>
      </c>
      <c r="U414">
        <v>9</v>
      </c>
      <c r="V414" s="1">
        <v>46082</v>
      </c>
      <c r="W414">
        <v>39.33</v>
      </c>
      <c r="X414">
        <v>7.66</v>
      </c>
      <c r="Y414">
        <v>30.7</v>
      </c>
      <c r="Z414">
        <v>0</v>
      </c>
      <c r="AA414">
        <v>0</v>
      </c>
      <c r="AB414">
        <v>2</v>
      </c>
      <c r="AC414">
        <v>0</v>
      </c>
      <c r="AD414">
        <f t="shared" ca="1" si="6"/>
        <v>15</v>
      </c>
      <c r="AE414">
        <f>AVERAGE(Table1[[#This Row],[Runs Conceded]]/Table1[[#This Row],[Wickets Taken]])</f>
        <v>39.333333333333336</v>
      </c>
    </row>
    <row r="415" spans="1:31" x14ac:dyDescent="0.3">
      <c r="A415" t="s">
        <v>291</v>
      </c>
      <c r="B415" t="s">
        <v>304</v>
      </c>
      <c r="C415" t="s">
        <v>92</v>
      </c>
      <c r="D415">
        <v>15</v>
      </c>
      <c r="E415">
        <v>5</v>
      </c>
      <c r="F415">
        <v>2</v>
      </c>
      <c r="G415">
        <v>12</v>
      </c>
      <c r="H415" t="s">
        <v>57</v>
      </c>
      <c r="I415">
        <v>4</v>
      </c>
      <c r="J415">
        <v>19</v>
      </c>
      <c r="K415">
        <v>63.15</v>
      </c>
      <c r="L415">
        <v>0</v>
      </c>
      <c r="M415">
        <v>0</v>
      </c>
      <c r="N415">
        <v>0</v>
      </c>
      <c r="O415">
        <v>1</v>
      </c>
      <c r="P415">
        <v>0</v>
      </c>
      <c r="Q415">
        <v>15</v>
      </c>
      <c r="R415">
        <v>59</v>
      </c>
      <c r="S415">
        <v>1</v>
      </c>
      <c r="T415">
        <v>461</v>
      </c>
      <c r="U415">
        <v>13</v>
      </c>
      <c r="V415" s="1">
        <v>45323</v>
      </c>
      <c r="W415">
        <v>35.46</v>
      </c>
      <c r="X415">
        <v>7.81</v>
      </c>
      <c r="Y415">
        <v>27.2</v>
      </c>
      <c r="Z415">
        <v>0</v>
      </c>
      <c r="AA415">
        <v>0</v>
      </c>
      <c r="AB415">
        <v>4</v>
      </c>
      <c r="AC415">
        <v>0</v>
      </c>
      <c r="AD415">
        <f t="shared" ca="1" si="6"/>
        <v>4</v>
      </c>
      <c r="AE415">
        <f>AVERAGE(Table1[[#This Row],[Runs Conceded]]/Table1[[#This Row],[Wickets Taken]])</f>
        <v>35.46153846153846</v>
      </c>
    </row>
    <row r="416" spans="1:31" x14ac:dyDescent="0.3">
      <c r="A416" t="s">
        <v>291</v>
      </c>
      <c r="B416" t="s">
        <v>68</v>
      </c>
      <c r="C416" t="s">
        <v>28</v>
      </c>
      <c r="D416">
        <v>3</v>
      </c>
      <c r="E416">
        <v>2</v>
      </c>
      <c r="F416">
        <v>0</v>
      </c>
      <c r="G416">
        <v>8</v>
      </c>
      <c r="H416">
        <v>8</v>
      </c>
      <c r="I416">
        <v>4</v>
      </c>
      <c r="J416">
        <v>15</v>
      </c>
      <c r="K416">
        <v>53.33</v>
      </c>
      <c r="L416">
        <v>0</v>
      </c>
      <c r="M416">
        <v>0</v>
      </c>
      <c r="N416">
        <v>1</v>
      </c>
      <c r="O416">
        <v>1</v>
      </c>
      <c r="P416">
        <v>0</v>
      </c>
      <c r="Q416" t="s">
        <v>37</v>
      </c>
      <c r="R416" t="s">
        <v>37</v>
      </c>
      <c r="S416" t="s">
        <v>37</v>
      </c>
      <c r="T416" t="s">
        <v>37</v>
      </c>
      <c r="U416" t="s">
        <v>37</v>
      </c>
      <c r="V416" t="s">
        <v>37</v>
      </c>
      <c r="W416" t="s">
        <v>37</v>
      </c>
      <c r="X416" t="s">
        <v>37</v>
      </c>
      <c r="Y416" t="s">
        <v>37</v>
      </c>
      <c r="Z416" t="s">
        <v>37</v>
      </c>
      <c r="AA416" t="s">
        <v>37</v>
      </c>
      <c r="AB416">
        <v>1</v>
      </c>
      <c r="AC416">
        <v>0</v>
      </c>
      <c r="AD416">
        <f t="shared" ca="1" si="6"/>
        <v>3</v>
      </c>
      <c r="AE416" t="e">
        <f>AVERAGE(Table1[[#This Row],[Runs Conceded]]/Table1[[#This Row],[Wickets Taken]])</f>
        <v>#VALUE!</v>
      </c>
    </row>
    <row r="417" spans="1:31" x14ac:dyDescent="0.3">
      <c r="A417" t="s">
        <v>291</v>
      </c>
      <c r="B417" t="s">
        <v>234</v>
      </c>
      <c r="C417" t="s">
        <v>28</v>
      </c>
      <c r="D417">
        <v>5</v>
      </c>
      <c r="E417">
        <v>3</v>
      </c>
      <c r="F417">
        <v>3</v>
      </c>
      <c r="G417">
        <v>36</v>
      </c>
      <c r="H417" t="s">
        <v>305</v>
      </c>
      <c r="I417" t="s">
        <v>37</v>
      </c>
      <c r="J417">
        <v>30</v>
      </c>
      <c r="K417">
        <v>120</v>
      </c>
      <c r="L417">
        <v>0</v>
      </c>
      <c r="M417">
        <v>0</v>
      </c>
      <c r="N417">
        <v>0</v>
      </c>
      <c r="O417">
        <v>3</v>
      </c>
      <c r="P417">
        <v>1</v>
      </c>
      <c r="Q417">
        <v>5</v>
      </c>
      <c r="R417">
        <v>16.2</v>
      </c>
      <c r="S417">
        <v>0</v>
      </c>
      <c r="T417">
        <v>171</v>
      </c>
      <c r="U417">
        <v>0</v>
      </c>
      <c r="V417" t="s">
        <v>37</v>
      </c>
      <c r="W417" t="s">
        <v>37</v>
      </c>
      <c r="X417">
        <v>10.46</v>
      </c>
      <c r="Y417" t="s">
        <v>37</v>
      </c>
      <c r="Z417">
        <v>0</v>
      </c>
      <c r="AA417">
        <v>0</v>
      </c>
      <c r="AB417">
        <v>0</v>
      </c>
      <c r="AC417">
        <v>0</v>
      </c>
      <c r="AD417">
        <f t="shared" ca="1" si="6"/>
        <v>8</v>
      </c>
      <c r="AE417" t="e">
        <f>AVERAGE(Table1[[#This Row],[Runs Conceded]]/Table1[[#This Row],[Wickets Taken]])</f>
        <v>#DIV/0!</v>
      </c>
    </row>
    <row r="418" spans="1:31" x14ac:dyDescent="0.3">
      <c r="A418" t="s">
        <v>291</v>
      </c>
      <c r="B418" t="s">
        <v>137</v>
      </c>
      <c r="C418" t="s">
        <v>28</v>
      </c>
      <c r="D418">
        <v>14</v>
      </c>
      <c r="E418">
        <v>4</v>
      </c>
      <c r="F418">
        <v>4</v>
      </c>
      <c r="G418">
        <v>4</v>
      </c>
      <c r="H418" t="s">
        <v>59</v>
      </c>
      <c r="I418" t="s">
        <v>37</v>
      </c>
      <c r="J418">
        <v>4</v>
      </c>
      <c r="K418">
        <v>100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14</v>
      </c>
      <c r="R418">
        <v>49.3</v>
      </c>
      <c r="S418">
        <v>0</v>
      </c>
      <c r="T418">
        <v>413</v>
      </c>
      <c r="U418">
        <v>14</v>
      </c>
      <c r="V418" s="1">
        <v>46813</v>
      </c>
      <c r="W418">
        <v>29.5</v>
      </c>
      <c r="X418">
        <v>8.34</v>
      </c>
      <c r="Y418">
        <v>21.2</v>
      </c>
      <c r="Z418">
        <v>0</v>
      </c>
      <c r="AA418">
        <v>0</v>
      </c>
      <c r="AB418">
        <v>2</v>
      </c>
      <c r="AC418">
        <v>0</v>
      </c>
      <c r="AD418">
        <f t="shared" ca="1" si="6"/>
        <v>17</v>
      </c>
      <c r="AE418">
        <f>AVERAGE(Table1[[#This Row],[Runs Conceded]]/Table1[[#This Row],[Wickets Taken]])</f>
        <v>29.5</v>
      </c>
    </row>
    <row r="419" spans="1:31" x14ac:dyDescent="0.3">
      <c r="A419" t="s">
        <v>291</v>
      </c>
      <c r="B419" t="s">
        <v>137</v>
      </c>
      <c r="C419" t="s">
        <v>30</v>
      </c>
      <c r="D419">
        <v>1</v>
      </c>
      <c r="E419" t="s">
        <v>37</v>
      </c>
      <c r="F419" t="s">
        <v>37</v>
      </c>
      <c r="G419" t="s">
        <v>37</v>
      </c>
      <c r="H419" t="s">
        <v>37</v>
      </c>
      <c r="I419" t="s">
        <v>37</v>
      </c>
      <c r="J419" t="s">
        <v>37</v>
      </c>
      <c r="K419" t="s">
        <v>37</v>
      </c>
      <c r="L419" t="s">
        <v>37</v>
      </c>
      <c r="M419" t="s">
        <v>37</v>
      </c>
      <c r="N419" t="s">
        <v>37</v>
      </c>
      <c r="O419" t="s">
        <v>37</v>
      </c>
      <c r="P419" t="s">
        <v>37</v>
      </c>
      <c r="Q419">
        <v>1</v>
      </c>
      <c r="R419">
        <v>2</v>
      </c>
      <c r="S419">
        <v>0</v>
      </c>
      <c r="T419">
        <v>29</v>
      </c>
      <c r="U419">
        <v>0</v>
      </c>
      <c r="V419" t="s">
        <v>37</v>
      </c>
      <c r="W419" t="s">
        <v>37</v>
      </c>
      <c r="X419">
        <v>14.5</v>
      </c>
      <c r="Y419" t="s">
        <v>37</v>
      </c>
      <c r="Z419">
        <v>0</v>
      </c>
      <c r="AA419">
        <v>0</v>
      </c>
      <c r="AB419">
        <v>0</v>
      </c>
      <c r="AC419">
        <v>0</v>
      </c>
      <c r="AD419">
        <f t="shared" ca="1" si="6"/>
        <v>12</v>
      </c>
      <c r="AE419" t="e">
        <f>AVERAGE(Table1[[#This Row],[Runs Conceded]]/Table1[[#This Row],[Wickets Taken]])</f>
        <v>#DIV/0!</v>
      </c>
    </row>
    <row r="420" spans="1:31" x14ac:dyDescent="0.3">
      <c r="A420" t="s">
        <v>291</v>
      </c>
      <c r="B420" t="s">
        <v>306</v>
      </c>
      <c r="C420" t="s">
        <v>28</v>
      </c>
      <c r="D420">
        <v>8</v>
      </c>
      <c r="E420">
        <v>2</v>
      </c>
      <c r="F420">
        <v>2</v>
      </c>
      <c r="G420">
        <v>1</v>
      </c>
      <c r="H420" t="s">
        <v>55</v>
      </c>
      <c r="I420" t="s">
        <v>37</v>
      </c>
      <c r="J420">
        <v>1</v>
      </c>
      <c r="K420">
        <v>100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8</v>
      </c>
      <c r="R420">
        <v>26</v>
      </c>
      <c r="S420">
        <v>1</v>
      </c>
      <c r="T420">
        <v>199</v>
      </c>
      <c r="U420">
        <v>9</v>
      </c>
      <c r="V420" s="1">
        <v>42064</v>
      </c>
      <c r="W420">
        <v>22.11</v>
      </c>
      <c r="X420">
        <v>7.65</v>
      </c>
      <c r="Y420">
        <v>17.3</v>
      </c>
      <c r="Z420">
        <v>0</v>
      </c>
      <c r="AA420">
        <v>0</v>
      </c>
      <c r="AB420">
        <v>1</v>
      </c>
      <c r="AC420">
        <v>0</v>
      </c>
      <c r="AD420">
        <f t="shared" ca="1" si="6"/>
        <v>7</v>
      </c>
      <c r="AE420">
        <f>AVERAGE(Table1[[#This Row],[Runs Conceded]]/Table1[[#This Row],[Wickets Taken]])</f>
        <v>22.111111111111111</v>
      </c>
    </row>
    <row r="421" spans="1:31" x14ac:dyDescent="0.3">
      <c r="A421" t="s">
        <v>291</v>
      </c>
      <c r="B421" t="s">
        <v>306</v>
      </c>
      <c r="C421" t="s">
        <v>30</v>
      </c>
      <c r="D421">
        <v>6</v>
      </c>
      <c r="E421">
        <v>2</v>
      </c>
      <c r="F421">
        <v>2</v>
      </c>
      <c r="G421">
        <v>0</v>
      </c>
      <c r="H421" t="s">
        <v>148</v>
      </c>
      <c r="I421" t="s">
        <v>37</v>
      </c>
      <c r="J421">
        <v>0</v>
      </c>
      <c r="K421" t="s">
        <v>37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6</v>
      </c>
      <c r="R421">
        <v>21.1</v>
      </c>
      <c r="S421">
        <v>0</v>
      </c>
      <c r="T421">
        <v>197</v>
      </c>
      <c r="U421">
        <v>8</v>
      </c>
      <c r="V421" s="1">
        <v>15401</v>
      </c>
      <c r="W421">
        <v>24.62</v>
      </c>
      <c r="X421">
        <v>9.3000000000000007</v>
      </c>
      <c r="Y421">
        <v>15.8</v>
      </c>
      <c r="Z421">
        <v>0</v>
      </c>
      <c r="AA421">
        <v>0</v>
      </c>
      <c r="AB421">
        <v>1</v>
      </c>
      <c r="AC421">
        <v>0</v>
      </c>
      <c r="AD421">
        <f t="shared" ca="1" si="6"/>
        <v>11</v>
      </c>
      <c r="AE421">
        <f>AVERAGE(Table1[[#This Row],[Runs Conceded]]/Table1[[#This Row],[Wickets Taken]])</f>
        <v>24.625</v>
      </c>
    </row>
    <row r="422" spans="1:31" x14ac:dyDescent="0.3">
      <c r="A422" t="s">
        <v>291</v>
      </c>
      <c r="B422" t="s">
        <v>69</v>
      </c>
      <c r="C422" t="s">
        <v>28</v>
      </c>
      <c r="D422">
        <v>1</v>
      </c>
      <c r="E422" t="s">
        <v>37</v>
      </c>
      <c r="F422" t="s">
        <v>37</v>
      </c>
      <c r="G422" t="s">
        <v>37</v>
      </c>
      <c r="H422" t="s">
        <v>37</v>
      </c>
      <c r="I422" t="s">
        <v>37</v>
      </c>
      <c r="J422" t="s">
        <v>37</v>
      </c>
      <c r="K422" t="s">
        <v>37</v>
      </c>
      <c r="L422" t="s">
        <v>37</v>
      </c>
      <c r="M422" t="s">
        <v>37</v>
      </c>
      <c r="N422" t="s">
        <v>37</v>
      </c>
      <c r="O422" t="s">
        <v>37</v>
      </c>
      <c r="P422" t="s">
        <v>37</v>
      </c>
      <c r="Q422">
        <v>1</v>
      </c>
      <c r="R422">
        <v>4</v>
      </c>
      <c r="S422">
        <v>0</v>
      </c>
      <c r="T422">
        <v>39</v>
      </c>
      <c r="U422">
        <v>1</v>
      </c>
      <c r="V422" s="1">
        <v>14246</v>
      </c>
      <c r="W422">
        <v>39</v>
      </c>
      <c r="X422">
        <v>9.75</v>
      </c>
      <c r="Y422">
        <v>24</v>
      </c>
      <c r="Z422">
        <v>0</v>
      </c>
      <c r="AA422">
        <v>0</v>
      </c>
      <c r="AB422">
        <v>1</v>
      </c>
      <c r="AC422">
        <v>0</v>
      </c>
      <c r="AD422">
        <f t="shared" ca="1" si="6"/>
        <v>9</v>
      </c>
      <c r="AE422">
        <f>AVERAGE(Table1[[#This Row],[Runs Conceded]]/Table1[[#This Row],[Wickets Taken]])</f>
        <v>39</v>
      </c>
    </row>
    <row r="423" spans="1:31" x14ac:dyDescent="0.3">
      <c r="A423" t="s">
        <v>291</v>
      </c>
      <c r="B423" t="s">
        <v>236</v>
      </c>
      <c r="C423" t="s">
        <v>28</v>
      </c>
      <c r="D423">
        <v>16</v>
      </c>
      <c r="E423" t="s">
        <v>37</v>
      </c>
      <c r="F423" t="s">
        <v>37</v>
      </c>
      <c r="G423" t="s">
        <v>37</v>
      </c>
      <c r="H423" t="s">
        <v>37</v>
      </c>
      <c r="I423" t="s">
        <v>37</v>
      </c>
      <c r="J423" t="s">
        <v>37</v>
      </c>
      <c r="K423" t="s">
        <v>37</v>
      </c>
      <c r="L423" t="s">
        <v>37</v>
      </c>
      <c r="M423" t="s">
        <v>37</v>
      </c>
      <c r="N423" t="s">
        <v>37</v>
      </c>
      <c r="O423" t="s">
        <v>37</v>
      </c>
      <c r="P423" t="s">
        <v>37</v>
      </c>
      <c r="Q423">
        <v>16</v>
      </c>
      <c r="R423">
        <v>61</v>
      </c>
      <c r="S423">
        <v>1</v>
      </c>
      <c r="T423">
        <v>421</v>
      </c>
      <c r="U423">
        <v>17</v>
      </c>
      <c r="V423" s="1">
        <v>42430</v>
      </c>
      <c r="W423">
        <v>24.76</v>
      </c>
      <c r="X423">
        <v>6.9</v>
      </c>
      <c r="Y423">
        <v>21.5</v>
      </c>
      <c r="Z423">
        <v>0</v>
      </c>
      <c r="AA423">
        <v>0</v>
      </c>
      <c r="AB423">
        <v>2</v>
      </c>
      <c r="AC423">
        <v>0</v>
      </c>
      <c r="AD423">
        <f t="shared" ca="1" si="6"/>
        <v>17</v>
      </c>
      <c r="AE423">
        <f>AVERAGE(Table1[[#This Row],[Runs Conceded]]/Table1[[#This Row],[Wickets Taken]])</f>
        <v>24.764705882352942</v>
      </c>
    </row>
    <row r="424" spans="1:31" x14ac:dyDescent="0.3">
      <c r="A424" t="s">
        <v>291</v>
      </c>
      <c r="B424" t="s">
        <v>236</v>
      </c>
      <c r="C424" t="s">
        <v>30</v>
      </c>
      <c r="D424">
        <v>1</v>
      </c>
      <c r="E424" t="s">
        <v>37</v>
      </c>
      <c r="F424" t="s">
        <v>37</v>
      </c>
      <c r="G424" t="s">
        <v>37</v>
      </c>
      <c r="H424" t="s">
        <v>37</v>
      </c>
      <c r="I424" t="s">
        <v>37</v>
      </c>
      <c r="J424" t="s">
        <v>37</v>
      </c>
      <c r="K424" t="s">
        <v>37</v>
      </c>
      <c r="L424" t="s">
        <v>37</v>
      </c>
      <c r="M424" t="s">
        <v>37</v>
      </c>
      <c r="N424" t="s">
        <v>37</v>
      </c>
      <c r="O424" t="s">
        <v>37</v>
      </c>
      <c r="P424" t="s">
        <v>37</v>
      </c>
      <c r="Q424">
        <v>1</v>
      </c>
      <c r="R424">
        <v>2.4</v>
      </c>
      <c r="S424">
        <v>0</v>
      </c>
      <c r="T424">
        <v>34</v>
      </c>
      <c r="U424">
        <v>0</v>
      </c>
      <c r="V424" t="s">
        <v>37</v>
      </c>
      <c r="W424" t="s">
        <v>37</v>
      </c>
      <c r="X424">
        <v>12.75</v>
      </c>
      <c r="Y424" t="s">
        <v>37</v>
      </c>
      <c r="Z424">
        <v>0</v>
      </c>
      <c r="AA424">
        <v>0</v>
      </c>
      <c r="AB424">
        <v>0</v>
      </c>
      <c r="AC424">
        <v>0</v>
      </c>
      <c r="AD424">
        <f t="shared" ca="1" si="6"/>
        <v>4</v>
      </c>
      <c r="AE424" t="e">
        <f>AVERAGE(Table1[[#This Row],[Runs Conceded]]/Table1[[#This Row],[Wickets Taken]])</f>
        <v>#DIV/0!</v>
      </c>
    </row>
    <row r="425" spans="1:31" x14ac:dyDescent="0.3">
      <c r="A425" t="s">
        <v>291</v>
      </c>
      <c r="B425" t="s">
        <v>281</v>
      </c>
      <c r="C425" t="s">
        <v>32</v>
      </c>
      <c r="D425">
        <v>4</v>
      </c>
      <c r="E425">
        <v>1</v>
      </c>
      <c r="F425">
        <v>1</v>
      </c>
      <c r="G425">
        <v>5</v>
      </c>
      <c r="H425" t="s">
        <v>121</v>
      </c>
      <c r="I425" t="s">
        <v>37</v>
      </c>
      <c r="J425">
        <v>2</v>
      </c>
      <c r="K425">
        <v>250</v>
      </c>
      <c r="L425">
        <v>0</v>
      </c>
      <c r="M425">
        <v>0</v>
      </c>
      <c r="N425">
        <v>0</v>
      </c>
      <c r="O425">
        <v>1</v>
      </c>
      <c r="P425">
        <v>0</v>
      </c>
      <c r="Q425">
        <v>4</v>
      </c>
      <c r="R425">
        <v>16</v>
      </c>
      <c r="S425">
        <v>0</v>
      </c>
      <c r="T425">
        <v>130</v>
      </c>
      <c r="U425">
        <v>5</v>
      </c>
      <c r="V425" s="1">
        <v>44228</v>
      </c>
      <c r="W425">
        <v>26</v>
      </c>
      <c r="X425">
        <v>8.1199999999999992</v>
      </c>
      <c r="Y425">
        <v>19.2</v>
      </c>
      <c r="Z425">
        <v>0</v>
      </c>
      <c r="AA425">
        <v>0</v>
      </c>
      <c r="AB425">
        <v>0</v>
      </c>
      <c r="AC425">
        <v>0</v>
      </c>
      <c r="AD425">
        <f t="shared" ca="1" si="6"/>
        <v>7</v>
      </c>
      <c r="AE425">
        <f>AVERAGE(Table1[[#This Row],[Runs Conceded]]/Table1[[#This Row],[Wickets Taken]])</f>
        <v>26</v>
      </c>
    </row>
    <row r="426" spans="1:31" x14ac:dyDescent="0.3">
      <c r="A426" t="s">
        <v>291</v>
      </c>
      <c r="B426" t="s">
        <v>80</v>
      </c>
      <c r="C426" t="s">
        <v>30</v>
      </c>
      <c r="D426">
        <v>4</v>
      </c>
      <c r="E426">
        <v>4</v>
      </c>
      <c r="F426">
        <v>2</v>
      </c>
      <c r="G426">
        <v>101</v>
      </c>
      <c r="H426" t="s">
        <v>163</v>
      </c>
      <c r="I426">
        <v>50.5</v>
      </c>
      <c r="J426">
        <v>75</v>
      </c>
      <c r="K426">
        <v>134.66</v>
      </c>
      <c r="L426">
        <v>0</v>
      </c>
      <c r="M426">
        <v>1</v>
      </c>
      <c r="N426">
        <v>0</v>
      </c>
      <c r="O426">
        <v>12</v>
      </c>
      <c r="P426">
        <v>1</v>
      </c>
      <c r="Q426" t="s">
        <v>37</v>
      </c>
      <c r="R426" t="s">
        <v>37</v>
      </c>
      <c r="S426" t="s">
        <v>37</v>
      </c>
      <c r="T426" t="s">
        <v>37</v>
      </c>
      <c r="U426" t="s">
        <v>37</v>
      </c>
      <c r="V426" t="s">
        <v>37</v>
      </c>
      <c r="W426" t="s">
        <v>37</v>
      </c>
      <c r="X426" t="s">
        <v>37</v>
      </c>
      <c r="Y426" t="s">
        <v>37</v>
      </c>
      <c r="Z426" t="s">
        <v>37</v>
      </c>
      <c r="AA426" t="s">
        <v>37</v>
      </c>
      <c r="AB426">
        <v>1</v>
      </c>
      <c r="AC426">
        <v>0</v>
      </c>
      <c r="AD426">
        <f t="shared" ca="1" si="6"/>
        <v>13</v>
      </c>
      <c r="AE426" t="e">
        <f>AVERAGE(Table1[[#This Row],[Runs Conceded]]/Table1[[#This Row],[Wickets Taken]])</f>
        <v>#VALUE!</v>
      </c>
    </row>
    <row r="427" spans="1:31" x14ac:dyDescent="0.3">
      <c r="A427" t="s">
        <v>291</v>
      </c>
      <c r="B427" t="s">
        <v>80</v>
      </c>
      <c r="C427" t="s">
        <v>92</v>
      </c>
      <c r="D427">
        <v>15</v>
      </c>
      <c r="E427">
        <v>14</v>
      </c>
      <c r="F427">
        <v>2</v>
      </c>
      <c r="G427">
        <v>244</v>
      </c>
      <c r="H427" t="s">
        <v>307</v>
      </c>
      <c r="I427">
        <v>20.329999999999998</v>
      </c>
      <c r="J427">
        <v>193</v>
      </c>
      <c r="K427">
        <v>126.42</v>
      </c>
      <c r="L427">
        <v>0</v>
      </c>
      <c r="M427">
        <v>0</v>
      </c>
      <c r="N427">
        <v>0</v>
      </c>
      <c r="O427">
        <v>11</v>
      </c>
      <c r="P427">
        <v>12</v>
      </c>
      <c r="Q427">
        <v>5</v>
      </c>
      <c r="R427">
        <v>8</v>
      </c>
      <c r="S427">
        <v>0</v>
      </c>
      <c r="T427">
        <v>70</v>
      </c>
      <c r="U427">
        <v>1</v>
      </c>
      <c r="V427" s="2">
        <v>44136</v>
      </c>
      <c r="W427">
        <v>70</v>
      </c>
      <c r="X427">
        <v>8.75</v>
      </c>
      <c r="Y427">
        <v>48</v>
      </c>
      <c r="Z427">
        <v>0</v>
      </c>
      <c r="AA427">
        <v>0</v>
      </c>
      <c r="AB427">
        <v>10</v>
      </c>
      <c r="AC427">
        <v>0</v>
      </c>
      <c r="AD427">
        <f t="shared" ca="1" si="6"/>
        <v>12</v>
      </c>
      <c r="AE427">
        <f>AVERAGE(Table1[[#This Row],[Runs Conceded]]/Table1[[#This Row],[Wickets Taken]])</f>
        <v>70</v>
      </c>
    </row>
    <row r="428" spans="1:31" x14ac:dyDescent="0.3">
      <c r="A428" t="s">
        <v>291</v>
      </c>
      <c r="B428" t="s">
        <v>308</v>
      </c>
      <c r="C428" t="s">
        <v>30</v>
      </c>
      <c r="D428">
        <v>14</v>
      </c>
      <c r="E428">
        <v>3</v>
      </c>
      <c r="F428">
        <v>1</v>
      </c>
      <c r="G428">
        <v>11</v>
      </c>
      <c r="H428" t="s">
        <v>61</v>
      </c>
      <c r="I428">
        <v>5.5</v>
      </c>
      <c r="J428">
        <v>9</v>
      </c>
      <c r="K428">
        <v>122.22</v>
      </c>
      <c r="L428">
        <v>0</v>
      </c>
      <c r="M428">
        <v>0</v>
      </c>
      <c r="N428">
        <v>0</v>
      </c>
      <c r="O428">
        <v>0</v>
      </c>
      <c r="P428">
        <v>1</v>
      </c>
      <c r="Q428">
        <v>14</v>
      </c>
      <c r="R428">
        <v>54</v>
      </c>
      <c r="S428">
        <v>0</v>
      </c>
      <c r="T428">
        <v>358</v>
      </c>
      <c r="U428">
        <v>17</v>
      </c>
      <c r="V428" s="1">
        <v>43525</v>
      </c>
      <c r="W428">
        <v>21.05</v>
      </c>
      <c r="X428">
        <v>6.62</v>
      </c>
      <c r="Y428">
        <v>19</v>
      </c>
      <c r="Z428">
        <v>0</v>
      </c>
      <c r="AA428">
        <v>0</v>
      </c>
      <c r="AB428">
        <v>5</v>
      </c>
      <c r="AC428">
        <v>0</v>
      </c>
      <c r="AD428">
        <f t="shared" ca="1" si="6"/>
        <v>9</v>
      </c>
      <c r="AE428">
        <f>AVERAGE(Table1[[#This Row],[Runs Conceded]]/Table1[[#This Row],[Wickets Taken]])</f>
        <v>21.058823529411764</v>
      </c>
    </row>
    <row r="429" spans="1:31" x14ac:dyDescent="0.3">
      <c r="A429" t="s">
        <v>291</v>
      </c>
      <c r="B429" t="s">
        <v>308</v>
      </c>
      <c r="C429" t="s">
        <v>32</v>
      </c>
      <c r="D429">
        <v>17</v>
      </c>
      <c r="E429">
        <v>7</v>
      </c>
      <c r="F429">
        <v>2</v>
      </c>
      <c r="G429">
        <v>59</v>
      </c>
      <c r="H429" t="s">
        <v>309</v>
      </c>
      <c r="I429">
        <v>11.8</v>
      </c>
      <c r="J429">
        <v>31</v>
      </c>
      <c r="K429">
        <v>190.32</v>
      </c>
      <c r="L429">
        <v>0</v>
      </c>
      <c r="M429">
        <v>0</v>
      </c>
      <c r="N429">
        <v>2</v>
      </c>
      <c r="O429">
        <v>3</v>
      </c>
      <c r="P429">
        <v>6</v>
      </c>
      <c r="Q429">
        <v>17</v>
      </c>
      <c r="R429">
        <v>68</v>
      </c>
      <c r="S429">
        <v>2</v>
      </c>
      <c r="T429">
        <v>458</v>
      </c>
      <c r="U429">
        <v>21</v>
      </c>
      <c r="V429" s="1">
        <v>43525</v>
      </c>
      <c r="W429">
        <v>21.8</v>
      </c>
      <c r="X429">
        <v>6.73</v>
      </c>
      <c r="Y429">
        <v>19.399999999999999</v>
      </c>
      <c r="Z429">
        <v>0</v>
      </c>
      <c r="AA429">
        <v>0</v>
      </c>
      <c r="AB429">
        <v>6</v>
      </c>
      <c r="AC429">
        <v>0</v>
      </c>
      <c r="AD429">
        <f t="shared" ca="1" si="6"/>
        <v>8</v>
      </c>
      <c r="AE429">
        <f>AVERAGE(Table1[[#This Row],[Runs Conceded]]/Table1[[#This Row],[Wickets Taken]])</f>
        <v>21.80952380952381</v>
      </c>
    </row>
    <row r="430" spans="1:31" x14ac:dyDescent="0.3">
      <c r="A430" t="s">
        <v>291</v>
      </c>
      <c r="B430" t="s">
        <v>308</v>
      </c>
      <c r="C430" t="s">
        <v>92</v>
      </c>
      <c r="D430">
        <v>15</v>
      </c>
      <c r="E430">
        <v>8</v>
      </c>
      <c r="F430">
        <v>3</v>
      </c>
      <c r="G430">
        <v>34</v>
      </c>
      <c r="H430" t="s">
        <v>141</v>
      </c>
      <c r="I430">
        <v>6.8</v>
      </c>
      <c r="J430">
        <v>23</v>
      </c>
      <c r="K430">
        <v>147.82</v>
      </c>
      <c r="L430">
        <v>0</v>
      </c>
      <c r="M430">
        <v>0</v>
      </c>
      <c r="N430">
        <v>3</v>
      </c>
      <c r="O430">
        <v>2</v>
      </c>
      <c r="P430">
        <v>2</v>
      </c>
      <c r="Q430">
        <v>15</v>
      </c>
      <c r="R430">
        <v>60</v>
      </c>
      <c r="S430">
        <v>1</v>
      </c>
      <c r="T430">
        <v>377</v>
      </c>
      <c r="U430">
        <v>17</v>
      </c>
      <c r="V430" s="1">
        <v>44256</v>
      </c>
      <c r="W430">
        <v>22.17</v>
      </c>
      <c r="X430">
        <v>6.28</v>
      </c>
      <c r="Y430">
        <v>21.1</v>
      </c>
      <c r="Z430">
        <v>0</v>
      </c>
      <c r="AA430">
        <v>0</v>
      </c>
      <c r="AB430">
        <v>4</v>
      </c>
      <c r="AC430">
        <v>0</v>
      </c>
      <c r="AD430">
        <f t="shared" ca="1" si="6"/>
        <v>6</v>
      </c>
      <c r="AE430">
        <f>AVERAGE(Table1[[#This Row],[Runs Conceded]]/Table1[[#This Row],[Wickets Taken]])</f>
        <v>22.176470588235293</v>
      </c>
    </row>
    <row r="431" spans="1:31" x14ac:dyDescent="0.3">
      <c r="A431" t="s">
        <v>291</v>
      </c>
      <c r="B431" t="s">
        <v>310</v>
      </c>
      <c r="C431" t="s">
        <v>30</v>
      </c>
      <c r="D431">
        <v>3</v>
      </c>
      <c r="E431">
        <v>1</v>
      </c>
      <c r="F431">
        <v>0</v>
      </c>
      <c r="G431">
        <v>2</v>
      </c>
      <c r="H431">
        <v>2</v>
      </c>
      <c r="I431">
        <v>2</v>
      </c>
      <c r="J431">
        <v>3</v>
      </c>
      <c r="K431">
        <v>66.66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3</v>
      </c>
      <c r="R431">
        <v>11</v>
      </c>
      <c r="S431">
        <v>0</v>
      </c>
      <c r="T431">
        <v>58</v>
      </c>
      <c r="U431">
        <v>2</v>
      </c>
      <c r="V431" s="1">
        <v>41275</v>
      </c>
      <c r="W431">
        <v>29</v>
      </c>
      <c r="X431">
        <v>5.27</v>
      </c>
      <c r="Y431">
        <v>33</v>
      </c>
      <c r="Z431">
        <v>0</v>
      </c>
      <c r="AA431">
        <v>0</v>
      </c>
      <c r="AB431">
        <v>0</v>
      </c>
      <c r="AC431">
        <v>0</v>
      </c>
      <c r="AD431">
        <f t="shared" ca="1" si="6"/>
        <v>7</v>
      </c>
      <c r="AE431">
        <f>AVERAGE(Table1[[#This Row],[Runs Conceded]]/Table1[[#This Row],[Wickets Taken]])</f>
        <v>29</v>
      </c>
    </row>
    <row r="432" spans="1:31" x14ac:dyDescent="0.3">
      <c r="A432" t="s">
        <v>291</v>
      </c>
      <c r="B432" t="s">
        <v>310</v>
      </c>
      <c r="C432" t="s">
        <v>32</v>
      </c>
      <c r="D432">
        <v>2</v>
      </c>
      <c r="E432">
        <v>2</v>
      </c>
      <c r="F432">
        <v>0</v>
      </c>
      <c r="G432">
        <v>18</v>
      </c>
      <c r="H432">
        <v>14</v>
      </c>
      <c r="I432">
        <v>9</v>
      </c>
      <c r="J432">
        <v>12</v>
      </c>
      <c r="K432">
        <v>150</v>
      </c>
      <c r="L432">
        <v>0</v>
      </c>
      <c r="M432">
        <v>0</v>
      </c>
      <c r="N432">
        <v>0</v>
      </c>
      <c r="O432">
        <v>3</v>
      </c>
      <c r="P432">
        <v>0</v>
      </c>
      <c r="Q432">
        <v>2</v>
      </c>
      <c r="R432">
        <v>5</v>
      </c>
      <c r="S432">
        <v>0</v>
      </c>
      <c r="T432">
        <v>47</v>
      </c>
      <c r="U432">
        <v>1</v>
      </c>
      <c r="V432" s="1">
        <v>44927</v>
      </c>
      <c r="W432">
        <v>47</v>
      </c>
      <c r="X432">
        <v>9.4</v>
      </c>
      <c r="Y432">
        <v>30</v>
      </c>
      <c r="Z432">
        <v>0</v>
      </c>
      <c r="AA432">
        <v>0</v>
      </c>
      <c r="AB432">
        <v>0</v>
      </c>
      <c r="AC432">
        <v>0</v>
      </c>
      <c r="AD432">
        <f t="shared" ca="1" si="6"/>
        <v>8</v>
      </c>
      <c r="AE432">
        <f>AVERAGE(Table1[[#This Row],[Runs Conceded]]/Table1[[#This Row],[Wickets Taken]])</f>
        <v>47</v>
      </c>
    </row>
    <row r="433" spans="1:31" x14ac:dyDescent="0.3">
      <c r="A433" t="s">
        <v>291</v>
      </c>
      <c r="B433" t="s">
        <v>310</v>
      </c>
      <c r="C433" t="s">
        <v>92</v>
      </c>
      <c r="D433">
        <v>8</v>
      </c>
      <c r="E433">
        <v>7</v>
      </c>
      <c r="F433">
        <v>1</v>
      </c>
      <c r="G433">
        <v>115</v>
      </c>
      <c r="H433">
        <v>31</v>
      </c>
      <c r="I433">
        <v>19.16</v>
      </c>
      <c r="J433">
        <v>76</v>
      </c>
      <c r="K433">
        <v>151.31</v>
      </c>
      <c r="L433">
        <v>0</v>
      </c>
      <c r="M433">
        <v>0</v>
      </c>
      <c r="N433">
        <v>0</v>
      </c>
      <c r="O433">
        <v>8</v>
      </c>
      <c r="P433">
        <v>7</v>
      </c>
      <c r="Q433">
        <v>8</v>
      </c>
      <c r="R433">
        <v>29.1</v>
      </c>
      <c r="S433">
        <v>0</v>
      </c>
      <c r="T433">
        <v>194</v>
      </c>
      <c r="U433">
        <v>8</v>
      </c>
      <c r="V433" s="2">
        <v>44139</v>
      </c>
      <c r="W433">
        <v>24.25</v>
      </c>
      <c r="X433">
        <v>6.65</v>
      </c>
      <c r="Y433">
        <v>21.8</v>
      </c>
      <c r="Z433">
        <v>1</v>
      </c>
      <c r="AA433">
        <v>0</v>
      </c>
      <c r="AB433">
        <v>6</v>
      </c>
      <c r="AC433">
        <v>0</v>
      </c>
      <c r="AD433">
        <f t="shared" ca="1" si="6"/>
        <v>15</v>
      </c>
      <c r="AE433">
        <f>AVERAGE(Table1[[#This Row],[Runs Conceded]]/Table1[[#This Row],[Wickets Taken]])</f>
        <v>24.25</v>
      </c>
    </row>
    <row r="434" spans="1:31" x14ac:dyDescent="0.3">
      <c r="A434" t="s">
        <v>291</v>
      </c>
      <c r="B434" t="s">
        <v>311</v>
      </c>
      <c r="C434" t="s">
        <v>30</v>
      </c>
      <c r="D434">
        <v>10</v>
      </c>
      <c r="E434">
        <v>1</v>
      </c>
      <c r="F434">
        <v>1</v>
      </c>
      <c r="G434">
        <v>0</v>
      </c>
      <c r="H434" t="s">
        <v>148</v>
      </c>
      <c r="I434" t="s">
        <v>37</v>
      </c>
      <c r="J434">
        <v>2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10</v>
      </c>
      <c r="R434">
        <v>35.4</v>
      </c>
      <c r="S434">
        <v>0</v>
      </c>
      <c r="T434">
        <v>300</v>
      </c>
      <c r="U434">
        <v>16</v>
      </c>
      <c r="V434" s="1">
        <v>47209</v>
      </c>
      <c r="W434">
        <v>18.75</v>
      </c>
      <c r="X434">
        <v>8.41</v>
      </c>
      <c r="Y434">
        <v>13.3</v>
      </c>
      <c r="Z434">
        <v>1</v>
      </c>
      <c r="AA434">
        <v>0</v>
      </c>
      <c r="AB434">
        <v>3</v>
      </c>
      <c r="AC434">
        <v>0</v>
      </c>
      <c r="AD434">
        <f t="shared" ca="1" si="6"/>
        <v>7</v>
      </c>
      <c r="AE434">
        <f>AVERAGE(Table1[[#This Row],[Runs Conceded]]/Table1[[#This Row],[Wickets Taken]])</f>
        <v>18.75</v>
      </c>
    </row>
    <row r="435" spans="1:31" x14ac:dyDescent="0.3">
      <c r="A435" t="s">
        <v>291</v>
      </c>
      <c r="B435" t="s">
        <v>311</v>
      </c>
      <c r="C435" t="s">
        <v>32</v>
      </c>
      <c r="D435">
        <v>17</v>
      </c>
      <c r="E435">
        <v>4</v>
      </c>
      <c r="F435">
        <v>1</v>
      </c>
      <c r="G435">
        <v>3</v>
      </c>
      <c r="H435">
        <v>2</v>
      </c>
      <c r="I435">
        <v>1</v>
      </c>
      <c r="J435">
        <v>14</v>
      </c>
      <c r="K435">
        <v>21.42</v>
      </c>
      <c r="L435">
        <v>0</v>
      </c>
      <c r="M435">
        <v>0</v>
      </c>
      <c r="N435">
        <v>1</v>
      </c>
      <c r="O435">
        <v>0</v>
      </c>
      <c r="P435">
        <v>0</v>
      </c>
      <c r="Q435">
        <v>17</v>
      </c>
      <c r="R435">
        <v>66</v>
      </c>
      <c r="S435">
        <v>0</v>
      </c>
      <c r="T435">
        <v>547</v>
      </c>
      <c r="U435">
        <v>21</v>
      </c>
      <c r="V435" s="1">
        <v>44986</v>
      </c>
      <c r="W435">
        <v>26.04</v>
      </c>
      <c r="X435">
        <v>8.2799999999999994</v>
      </c>
      <c r="Y435">
        <v>18.8</v>
      </c>
      <c r="Z435">
        <v>0</v>
      </c>
      <c r="AA435">
        <v>0</v>
      </c>
      <c r="AB435">
        <v>2</v>
      </c>
      <c r="AC435">
        <v>0</v>
      </c>
      <c r="AD435">
        <f t="shared" ca="1" si="6"/>
        <v>15</v>
      </c>
      <c r="AE435">
        <f>AVERAGE(Table1[[#This Row],[Runs Conceded]]/Table1[[#This Row],[Wickets Taken]])</f>
        <v>26.047619047619047</v>
      </c>
    </row>
    <row r="436" spans="1:31" x14ac:dyDescent="0.3">
      <c r="A436" t="s">
        <v>291</v>
      </c>
      <c r="B436" t="s">
        <v>311</v>
      </c>
      <c r="C436" t="s">
        <v>92</v>
      </c>
      <c r="D436">
        <v>7</v>
      </c>
      <c r="E436">
        <v>2</v>
      </c>
      <c r="F436">
        <v>1</v>
      </c>
      <c r="G436">
        <v>0</v>
      </c>
      <c r="H436" t="s">
        <v>148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1</v>
      </c>
      <c r="O436">
        <v>0</v>
      </c>
      <c r="P436">
        <v>0</v>
      </c>
      <c r="Q436">
        <v>7</v>
      </c>
      <c r="R436">
        <v>27</v>
      </c>
      <c r="S436">
        <v>0</v>
      </c>
      <c r="T436">
        <v>242</v>
      </c>
      <c r="U436">
        <v>6</v>
      </c>
      <c r="V436" s="1">
        <v>12451</v>
      </c>
      <c r="W436">
        <v>40.33</v>
      </c>
      <c r="X436">
        <v>8.9600000000000009</v>
      </c>
      <c r="Y436">
        <v>27</v>
      </c>
      <c r="Z436">
        <v>0</v>
      </c>
      <c r="AA436">
        <v>0</v>
      </c>
      <c r="AB436">
        <v>1</v>
      </c>
      <c r="AC436">
        <v>0</v>
      </c>
      <c r="AD436">
        <f t="shared" ca="1" si="6"/>
        <v>14</v>
      </c>
      <c r="AE436">
        <f>AVERAGE(Table1[[#This Row],[Runs Conceded]]/Table1[[#This Row],[Wickets Taken]])</f>
        <v>40.333333333333336</v>
      </c>
    </row>
    <row r="437" spans="1:31" x14ac:dyDescent="0.3">
      <c r="A437" t="s">
        <v>291</v>
      </c>
      <c r="B437" t="s">
        <v>282</v>
      </c>
      <c r="C437" t="s">
        <v>30</v>
      </c>
      <c r="D437">
        <v>6</v>
      </c>
      <c r="E437" t="s">
        <v>37</v>
      </c>
      <c r="F437" t="s">
        <v>37</v>
      </c>
      <c r="G437" t="s">
        <v>37</v>
      </c>
      <c r="H437" t="s">
        <v>37</v>
      </c>
      <c r="I437" t="s">
        <v>37</v>
      </c>
      <c r="J437" t="s">
        <v>37</v>
      </c>
      <c r="K437" t="s">
        <v>37</v>
      </c>
      <c r="L437" t="s">
        <v>37</v>
      </c>
      <c r="M437" t="s">
        <v>37</v>
      </c>
      <c r="N437" t="s">
        <v>37</v>
      </c>
      <c r="O437" t="s">
        <v>37</v>
      </c>
      <c r="P437" t="s">
        <v>37</v>
      </c>
      <c r="Q437">
        <v>6</v>
      </c>
      <c r="R437">
        <v>23</v>
      </c>
      <c r="S437">
        <v>0</v>
      </c>
      <c r="T437">
        <v>212</v>
      </c>
      <c r="U437">
        <v>10</v>
      </c>
      <c r="V437" s="1">
        <v>11780</v>
      </c>
      <c r="W437">
        <v>21.2</v>
      </c>
      <c r="X437">
        <v>9.2100000000000009</v>
      </c>
      <c r="Y437">
        <v>13.8</v>
      </c>
      <c r="Z437">
        <v>1</v>
      </c>
      <c r="AA437">
        <v>0</v>
      </c>
      <c r="AB437">
        <v>1</v>
      </c>
      <c r="AC437">
        <v>0</v>
      </c>
      <c r="AD437">
        <f t="shared" ca="1" si="6"/>
        <v>9</v>
      </c>
      <c r="AE437">
        <f>AVERAGE(Table1[[#This Row],[Runs Conceded]]/Table1[[#This Row],[Wickets Taken]])</f>
        <v>21.2</v>
      </c>
    </row>
    <row r="438" spans="1:31" x14ac:dyDescent="0.3">
      <c r="A438" t="s">
        <v>291</v>
      </c>
      <c r="B438" t="s">
        <v>312</v>
      </c>
      <c r="C438" t="s">
        <v>32</v>
      </c>
      <c r="D438">
        <v>4</v>
      </c>
      <c r="E438">
        <v>2</v>
      </c>
      <c r="F438">
        <v>1</v>
      </c>
      <c r="G438">
        <v>3</v>
      </c>
      <c r="H438">
        <v>3</v>
      </c>
      <c r="I438">
        <v>3</v>
      </c>
      <c r="J438">
        <v>6</v>
      </c>
      <c r="K438">
        <v>50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4</v>
      </c>
      <c r="R438">
        <v>10.1</v>
      </c>
      <c r="S438">
        <v>0</v>
      </c>
      <c r="T438">
        <v>114</v>
      </c>
      <c r="U438">
        <v>5</v>
      </c>
      <c r="V438" s="2">
        <v>43923</v>
      </c>
      <c r="W438">
        <v>22.8</v>
      </c>
      <c r="X438">
        <v>11.21</v>
      </c>
      <c r="Y438">
        <v>12.2</v>
      </c>
      <c r="Z438">
        <v>0</v>
      </c>
      <c r="AA438">
        <v>0</v>
      </c>
      <c r="AB438">
        <v>2</v>
      </c>
      <c r="AC438">
        <v>0</v>
      </c>
      <c r="AD438">
        <f t="shared" ca="1" si="6"/>
        <v>15</v>
      </c>
      <c r="AE438">
        <f>AVERAGE(Table1[[#This Row],[Runs Conceded]]/Table1[[#This Row],[Wickets Taken]])</f>
        <v>22.8</v>
      </c>
    </row>
    <row r="439" spans="1:31" x14ac:dyDescent="0.3">
      <c r="A439" t="s">
        <v>291</v>
      </c>
      <c r="B439" t="s">
        <v>312</v>
      </c>
      <c r="C439" t="s">
        <v>92</v>
      </c>
      <c r="D439">
        <v>3</v>
      </c>
      <c r="E439">
        <v>1</v>
      </c>
      <c r="F439">
        <v>1</v>
      </c>
      <c r="G439">
        <v>1</v>
      </c>
      <c r="H439" t="s">
        <v>55</v>
      </c>
      <c r="I439" t="s">
        <v>37</v>
      </c>
      <c r="J439">
        <v>1</v>
      </c>
      <c r="K439">
        <v>100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3</v>
      </c>
      <c r="R439">
        <v>12</v>
      </c>
      <c r="S439">
        <v>0</v>
      </c>
      <c r="T439">
        <v>110</v>
      </c>
      <c r="U439">
        <v>0</v>
      </c>
      <c r="V439" t="s">
        <v>37</v>
      </c>
      <c r="W439" t="s">
        <v>37</v>
      </c>
      <c r="X439">
        <v>9.16</v>
      </c>
      <c r="Y439" t="s">
        <v>37</v>
      </c>
      <c r="Z439">
        <v>0</v>
      </c>
      <c r="AA439">
        <v>0</v>
      </c>
      <c r="AB439">
        <v>0</v>
      </c>
      <c r="AC439">
        <v>0</v>
      </c>
      <c r="AD439">
        <f t="shared" ca="1" si="6"/>
        <v>12</v>
      </c>
      <c r="AE439" t="e">
        <f>AVERAGE(Table1[[#This Row],[Runs Conceded]]/Table1[[#This Row],[Wickets Taken]])</f>
        <v>#DIV/0!</v>
      </c>
    </row>
    <row r="440" spans="1:31" x14ac:dyDescent="0.3">
      <c r="A440" t="s">
        <v>291</v>
      </c>
      <c r="B440" t="s">
        <v>85</v>
      </c>
      <c r="C440" t="s">
        <v>92</v>
      </c>
      <c r="D440">
        <v>3</v>
      </c>
      <c r="E440">
        <v>3</v>
      </c>
      <c r="F440">
        <v>1</v>
      </c>
      <c r="G440">
        <v>9</v>
      </c>
      <c r="H440" t="s">
        <v>121</v>
      </c>
      <c r="I440">
        <v>4.5</v>
      </c>
      <c r="J440">
        <v>9</v>
      </c>
      <c r="K440">
        <v>100</v>
      </c>
      <c r="L440">
        <v>0</v>
      </c>
      <c r="M440">
        <v>0</v>
      </c>
      <c r="N440">
        <v>0</v>
      </c>
      <c r="O440">
        <v>1</v>
      </c>
      <c r="P440">
        <v>0</v>
      </c>
      <c r="Q440">
        <v>2</v>
      </c>
      <c r="R440">
        <v>2</v>
      </c>
      <c r="S440">
        <v>0</v>
      </c>
      <c r="T440">
        <v>21</v>
      </c>
      <c r="U440">
        <v>1</v>
      </c>
      <c r="V440" s="2">
        <v>44105</v>
      </c>
      <c r="W440">
        <v>21</v>
      </c>
      <c r="X440">
        <v>10.5</v>
      </c>
      <c r="Y440">
        <v>12</v>
      </c>
      <c r="Z440">
        <v>0</v>
      </c>
      <c r="AA440">
        <v>0</v>
      </c>
      <c r="AB440">
        <v>1</v>
      </c>
      <c r="AC440">
        <v>0</v>
      </c>
      <c r="AD440">
        <f t="shared" ca="1" si="6"/>
        <v>15</v>
      </c>
      <c r="AE440">
        <f>AVERAGE(Table1[[#This Row],[Runs Conceded]]/Table1[[#This Row],[Wickets Taken]])</f>
        <v>21</v>
      </c>
    </row>
    <row r="441" spans="1:31" x14ac:dyDescent="0.3">
      <c r="A441" t="s">
        <v>291</v>
      </c>
      <c r="B441" t="s">
        <v>313</v>
      </c>
      <c r="C441" t="s">
        <v>32</v>
      </c>
      <c r="D441">
        <v>6</v>
      </c>
      <c r="E441">
        <v>6</v>
      </c>
      <c r="F441">
        <v>0</v>
      </c>
      <c r="G441">
        <v>148</v>
      </c>
      <c r="H441">
        <v>45</v>
      </c>
      <c r="I441">
        <v>24.66</v>
      </c>
      <c r="J441">
        <v>118</v>
      </c>
      <c r="K441">
        <v>125.42</v>
      </c>
      <c r="L441">
        <v>0</v>
      </c>
      <c r="M441">
        <v>0</v>
      </c>
      <c r="N441">
        <v>0</v>
      </c>
      <c r="O441">
        <v>13</v>
      </c>
      <c r="P441">
        <v>6</v>
      </c>
      <c r="Q441" t="s">
        <v>37</v>
      </c>
      <c r="R441" t="s">
        <v>37</v>
      </c>
      <c r="S441" t="s">
        <v>37</v>
      </c>
      <c r="T441" t="s">
        <v>37</v>
      </c>
      <c r="U441" t="s">
        <v>37</v>
      </c>
      <c r="V441" t="s">
        <v>37</v>
      </c>
      <c r="W441" t="s">
        <v>37</v>
      </c>
      <c r="X441" t="s">
        <v>37</v>
      </c>
      <c r="Y441" t="s">
        <v>37</v>
      </c>
      <c r="Z441" t="s">
        <v>37</v>
      </c>
      <c r="AA441" t="s">
        <v>37</v>
      </c>
      <c r="AB441">
        <v>2</v>
      </c>
      <c r="AC441">
        <v>0</v>
      </c>
      <c r="AD441">
        <f t="shared" ca="1" si="6"/>
        <v>5</v>
      </c>
      <c r="AE441" t="e">
        <f>AVERAGE(Table1[[#This Row],[Runs Conceded]]/Table1[[#This Row],[Wickets Taken]])</f>
        <v>#VALUE!</v>
      </c>
    </row>
    <row r="442" spans="1:31" x14ac:dyDescent="0.3">
      <c r="A442" t="s">
        <v>291</v>
      </c>
      <c r="B442" t="s">
        <v>314</v>
      </c>
      <c r="C442" t="s">
        <v>32</v>
      </c>
      <c r="D442">
        <v>6</v>
      </c>
      <c r="E442">
        <v>3</v>
      </c>
      <c r="F442">
        <v>0</v>
      </c>
      <c r="G442">
        <v>52</v>
      </c>
      <c r="H442">
        <v>35</v>
      </c>
      <c r="I442">
        <v>17.329999999999998</v>
      </c>
      <c r="J442">
        <v>40</v>
      </c>
      <c r="K442">
        <v>130</v>
      </c>
      <c r="L442">
        <v>0</v>
      </c>
      <c r="M442">
        <v>0</v>
      </c>
      <c r="N442">
        <v>0</v>
      </c>
      <c r="O442">
        <v>6</v>
      </c>
      <c r="P442">
        <v>1</v>
      </c>
      <c r="Q442" t="s">
        <v>37</v>
      </c>
      <c r="R442" t="s">
        <v>37</v>
      </c>
      <c r="S442" t="s">
        <v>37</v>
      </c>
      <c r="T442" t="s">
        <v>37</v>
      </c>
      <c r="U442" t="s">
        <v>37</v>
      </c>
      <c r="V442" t="s">
        <v>37</v>
      </c>
      <c r="W442" t="s">
        <v>37</v>
      </c>
      <c r="X442" t="s">
        <v>37</v>
      </c>
      <c r="Y442" t="s">
        <v>37</v>
      </c>
      <c r="Z442" t="s">
        <v>37</v>
      </c>
      <c r="AA442" t="s">
        <v>37</v>
      </c>
      <c r="AB442">
        <v>5</v>
      </c>
      <c r="AC442">
        <v>0</v>
      </c>
      <c r="AD442">
        <f t="shared" ca="1" si="6"/>
        <v>4</v>
      </c>
      <c r="AE442" t="e">
        <f>AVERAGE(Table1[[#This Row],[Runs Conceded]]/Table1[[#This Row],[Wickets Taken]])</f>
        <v>#VALUE!</v>
      </c>
    </row>
    <row r="443" spans="1:31" x14ac:dyDescent="0.3">
      <c r="A443" t="s">
        <v>291</v>
      </c>
      <c r="B443" t="s">
        <v>315</v>
      </c>
      <c r="C443" t="s">
        <v>32</v>
      </c>
      <c r="D443">
        <v>1</v>
      </c>
      <c r="E443">
        <v>1</v>
      </c>
      <c r="F443">
        <v>0</v>
      </c>
      <c r="G443">
        <v>0</v>
      </c>
      <c r="H443">
        <v>0</v>
      </c>
      <c r="I443">
        <v>0</v>
      </c>
      <c r="J443">
        <v>5</v>
      </c>
      <c r="K443">
        <v>0</v>
      </c>
      <c r="L443">
        <v>0</v>
      </c>
      <c r="M443">
        <v>0</v>
      </c>
      <c r="N443">
        <v>1</v>
      </c>
      <c r="O443">
        <v>0</v>
      </c>
      <c r="P443">
        <v>0</v>
      </c>
      <c r="Q443" t="s">
        <v>37</v>
      </c>
      <c r="R443" t="s">
        <v>37</v>
      </c>
      <c r="S443" t="s">
        <v>37</v>
      </c>
      <c r="T443" t="s">
        <v>37</v>
      </c>
      <c r="U443" t="s">
        <v>37</v>
      </c>
      <c r="V443" t="s">
        <v>37</v>
      </c>
      <c r="W443" t="s">
        <v>37</v>
      </c>
      <c r="X443" t="s">
        <v>37</v>
      </c>
      <c r="Y443" t="s">
        <v>37</v>
      </c>
      <c r="Z443" t="s">
        <v>37</v>
      </c>
      <c r="AA443" t="s">
        <v>37</v>
      </c>
      <c r="AB443">
        <v>0</v>
      </c>
      <c r="AC443">
        <v>0</v>
      </c>
      <c r="AD443">
        <f t="shared" ca="1" si="6"/>
        <v>5</v>
      </c>
      <c r="AE443" t="e">
        <f>AVERAGE(Table1[[#This Row],[Runs Conceded]]/Table1[[#This Row],[Wickets Taken]])</f>
        <v>#VALUE!</v>
      </c>
    </row>
    <row r="444" spans="1:31" x14ac:dyDescent="0.3">
      <c r="A444" t="s">
        <v>291</v>
      </c>
      <c r="B444" t="s">
        <v>315</v>
      </c>
      <c r="C444" t="s">
        <v>92</v>
      </c>
      <c r="D444">
        <v>1</v>
      </c>
      <c r="E444">
        <v>1</v>
      </c>
      <c r="F444">
        <v>0</v>
      </c>
      <c r="G444">
        <v>7</v>
      </c>
      <c r="H444">
        <v>7</v>
      </c>
      <c r="I444">
        <v>7</v>
      </c>
      <c r="J444">
        <v>12</v>
      </c>
      <c r="K444">
        <v>58.33</v>
      </c>
      <c r="L444">
        <v>0</v>
      </c>
      <c r="M444">
        <v>0</v>
      </c>
      <c r="N444">
        <v>0</v>
      </c>
      <c r="O444">
        <v>0</v>
      </c>
      <c r="P444">
        <v>0</v>
      </c>
      <c r="Q444" t="s">
        <v>37</v>
      </c>
      <c r="R444" t="s">
        <v>37</v>
      </c>
      <c r="S444" t="s">
        <v>37</v>
      </c>
      <c r="T444" t="s">
        <v>37</v>
      </c>
      <c r="U444" t="s">
        <v>37</v>
      </c>
      <c r="V444" t="s">
        <v>37</v>
      </c>
      <c r="W444" t="s">
        <v>37</v>
      </c>
      <c r="X444" t="s">
        <v>37</v>
      </c>
      <c r="Y444" t="s">
        <v>37</v>
      </c>
      <c r="Z444" t="s">
        <v>37</v>
      </c>
      <c r="AA444" t="s">
        <v>37</v>
      </c>
      <c r="AB444">
        <v>0</v>
      </c>
      <c r="AC444">
        <v>0</v>
      </c>
      <c r="AD444">
        <f t="shared" ca="1" si="6"/>
        <v>3</v>
      </c>
      <c r="AE444" t="e">
        <f>AVERAGE(Table1[[#This Row],[Runs Conceded]]/Table1[[#This Row],[Wickets Taken]])</f>
        <v>#VALUE!</v>
      </c>
    </row>
    <row r="445" spans="1:31" x14ac:dyDescent="0.3">
      <c r="A445" t="s">
        <v>291</v>
      </c>
      <c r="B445" t="s">
        <v>316</v>
      </c>
      <c r="C445" t="s">
        <v>32</v>
      </c>
      <c r="D445">
        <v>1</v>
      </c>
      <c r="E445" t="s">
        <v>37</v>
      </c>
      <c r="F445" t="s">
        <v>37</v>
      </c>
      <c r="G445" t="s">
        <v>37</v>
      </c>
      <c r="H445" t="s">
        <v>37</v>
      </c>
      <c r="I445" t="s">
        <v>37</v>
      </c>
      <c r="J445" t="s">
        <v>37</v>
      </c>
      <c r="K445" t="s">
        <v>37</v>
      </c>
      <c r="L445" t="s">
        <v>37</v>
      </c>
      <c r="M445" t="s">
        <v>37</v>
      </c>
      <c r="N445" t="s">
        <v>37</v>
      </c>
      <c r="O445" t="s">
        <v>37</v>
      </c>
      <c r="P445" t="s">
        <v>37</v>
      </c>
      <c r="Q445">
        <v>1</v>
      </c>
      <c r="R445">
        <v>3</v>
      </c>
      <c r="S445">
        <v>0</v>
      </c>
      <c r="T445">
        <v>38</v>
      </c>
      <c r="U445">
        <v>0</v>
      </c>
      <c r="V445" t="s">
        <v>37</v>
      </c>
      <c r="W445" t="s">
        <v>37</v>
      </c>
      <c r="X445">
        <v>12.66</v>
      </c>
      <c r="Y445" t="s">
        <v>37</v>
      </c>
      <c r="Z445">
        <v>0</v>
      </c>
      <c r="AA445">
        <v>0</v>
      </c>
      <c r="AB445">
        <v>0</v>
      </c>
      <c r="AC445">
        <v>0</v>
      </c>
      <c r="AD445">
        <f t="shared" ca="1" si="6"/>
        <v>17</v>
      </c>
      <c r="AE445" t="e">
        <f>AVERAGE(Table1[[#This Row],[Runs Conceded]]/Table1[[#This Row],[Wickets Taken]])</f>
        <v>#DIV/0!</v>
      </c>
    </row>
    <row r="446" spans="1:31" x14ac:dyDescent="0.3">
      <c r="A446" t="s">
        <v>291</v>
      </c>
      <c r="B446" t="s">
        <v>316</v>
      </c>
      <c r="C446" t="s">
        <v>92</v>
      </c>
      <c r="D446">
        <v>9</v>
      </c>
      <c r="E446">
        <v>1</v>
      </c>
      <c r="F446">
        <v>0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9</v>
      </c>
      <c r="R446">
        <v>34.5</v>
      </c>
      <c r="S446">
        <v>0</v>
      </c>
      <c r="T446">
        <v>287</v>
      </c>
      <c r="U446">
        <v>19</v>
      </c>
      <c r="V446" s="1">
        <v>11018</v>
      </c>
      <c r="W446">
        <v>15.1</v>
      </c>
      <c r="X446">
        <v>8.23</v>
      </c>
      <c r="Y446">
        <v>11</v>
      </c>
      <c r="Z446">
        <v>0</v>
      </c>
      <c r="AA446">
        <v>0</v>
      </c>
      <c r="AB446">
        <v>0</v>
      </c>
      <c r="AC446">
        <v>0</v>
      </c>
      <c r="AD446">
        <f t="shared" ca="1" si="6"/>
        <v>3</v>
      </c>
      <c r="AE446">
        <f>AVERAGE(Table1[[#This Row],[Runs Conceded]]/Table1[[#This Row],[Wickets Taken]])</f>
        <v>15.105263157894736</v>
      </c>
    </row>
    <row r="447" spans="1:31" x14ac:dyDescent="0.3">
      <c r="A447" t="s">
        <v>291</v>
      </c>
      <c r="B447" t="s">
        <v>317</v>
      </c>
      <c r="C447" t="s">
        <v>92</v>
      </c>
      <c r="D447">
        <v>10</v>
      </c>
      <c r="E447">
        <v>10</v>
      </c>
      <c r="F447">
        <v>2</v>
      </c>
      <c r="G447">
        <v>445</v>
      </c>
      <c r="H447">
        <v>114</v>
      </c>
      <c r="I447">
        <v>55.62</v>
      </c>
      <c r="J447">
        <v>283</v>
      </c>
      <c r="K447">
        <v>157.24</v>
      </c>
      <c r="L447">
        <v>1</v>
      </c>
      <c r="M447">
        <v>2</v>
      </c>
      <c r="N447">
        <v>1</v>
      </c>
      <c r="O447">
        <v>48</v>
      </c>
      <c r="P447">
        <v>18</v>
      </c>
      <c r="Q447" t="s">
        <v>37</v>
      </c>
      <c r="R447" t="s">
        <v>37</v>
      </c>
      <c r="S447" t="s">
        <v>37</v>
      </c>
      <c r="T447" t="s">
        <v>37</v>
      </c>
      <c r="U447" t="s">
        <v>37</v>
      </c>
      <c r="V447" t="s">
        <v>37</v>
      </c>
      <c r="W447" t="s">
        <v>37</v>
      </c>
      <c r="X447" t="s">
        <v>37</v>
      </c>
      <c r="Y447" t="s">
        <v>37</v>
      </c>
      <c r="Z447" t="s">
        <v>37</v>
      </c>
      <c r="AA447" t="s">
        <v>37</v>
      </c>
      <c r="AB447">
        <v>9</v>
      </c>
      <c r="AC447">
        <v>2</v>
      </c>
      <c r="AD447">
        <f t="shared" ca="1" si="6"/>
        <v>9</v>
      </c>
      <c r="AE447" t="e">
        <f>AVERAGE(Table1[[#This Row],[Runs Conceded]]/Table1[[#This Row],[Wickets Taken]])</f>
        <v>#VALUE!</v>
      </c>
    </row>
    <row r="448" spans="1:31" x14ac:dyDescent="0.3">
      <c r="A448" t="s">
        <v>318</v>
      </c>
      <c r="B448" t="s">
        <v>138</v>
      </c>
      <c r="C448" t="s">
        <v>28</v>
      </c>
      <c r="D448">
        <v>13</v>
      </c>
      <c r="E448">
        <v>12</v>
      </c>
      <c r="F448">
        <v>2</v>
      </c>
      <c r="G448">
        <v>393</v>
      </c>
      <c r="H448">
        <v>74</v>
      </c>
      <c r="I448">
        <v>39.299999999999997</v>
      </c>
      <c r="J448">
        <v>299</v>
      </c>
      <c r="K448">
        <v>131.43</v>
      </c>
      <c r="L448">
        <v>0</v>
      </c>
      <c r="M448">
        <v>5</v>
      </c>
      <c r="N448">
        <v>2</v>
      </c>
      <c r="O448">
        <v>45</v>
      </c>
      <c r="P448">
        <v>11</v>
      </c>
      <c r="Q448" t="s">
        <v>37</v>
      </c>
      <c r="R448" t="s">
        <v>37</v>
      </c>
      <c r="S448" t="s">
        <v>37</v>
      </c>
      <c r="T448" t="s">
        <v>37</v>
      </c>
      <c r="U448" t="s">
        <v>37</v>
      </c>
      <c r="V448" t="s">
        <v>37</v>
      </c>
      <c r="W448" t="s">
        <v>37</v>
      </c>
      <c r="X448" t="s">
        <v>37</v>
      </c>
      <c r="Y448" t="s">
        <v>37</v>
      </c>
      <c r="Z448" t="s">
        <v>37</v>
      </c>
      <c r="AA448" t="s">
        <v>37</v>
      </c>
      <c r="AB448">
        <v>3</v>
      </c>
      <c r="AC448">
        <v>0</v>
      </c>
      <c r="AD448">
        <f t="shared" ca="1" si="6"/>
        <v>5</v>
      </c>
      <c r="AE448" t="e">
        <f>AVERAGE(Table1[[#This Row],[Runs Conceded]]/Table1[[#This Row],[Wickets Taken]])</f>
        <v>#VALUE!</v>
      </c>
    </row>
    <row r="449" spans="1:31" x14ac:dyDescent="0.3">
      <c r="A449" t="s">
        <v>318</v>
      </c>
      <c r="B449" t="s">
        <v>138</v>
      </c>
      <c r="C449" t="s">
        <v>30</v>
      </c>
      <c r="D449">
        <v>13</v>
      </c>
      <c r="E449">
        <v>13</v>
      </c>
      <c r="F449">
        <v>1</v>
      </c>
      <c r="G449">
        <v>299</v>
      </c>
      <c r="H449">
        <v>72</v>
      </c>
      <c r="I449">
        <v>24.91</v>
      </c>
      <c r="J449">
        <v>180</v>
      </c>
      <c r="K449">
        <v>166.11</v>
      </c>
      <c r="L449">
        <v>0</v>
      </c>
      <c r="M449">
        <v>2</v>
      </c>
      <c r="N449">
        <v>1</v>
      </c>
      <c r="O449">
        <v>25</v>
      </c>
      <c r="P449">
        <v>19</v>
      </c>
      <c r="Q449" t="s">
        <v>37</v>
      </c>
      <c r="R449" t="s">
        <v>37</v>
      </c>
      <c r="S449" t="s">
        <v>37</v>
      </c>
      <c r="T449" t="s">
        <v>37</v>
      </c>
      <c r="U449" t="s">
        <v>37</v>
      </c>
      <c r="V449" t="s">
        <v>37</v>
      </c>
      <c r="W449" t="s">
        <v>37</v>
      </c>
      <c r="X449" t="s">
        <v>37</v>
      </c>
      <c r="Y449" t="s">
        <v>37</v>
      </c>
      <c r="Z449" t="s">
        <v>37</v>
      </c>
      <c r="AA449" t="s">
        <v>37</v>
      </c>
      <c r="AB449">
        <v>5</v>
      </c>
      <c r="AC449">
        <v>0</v>
      </c>
      <c r="AD449">
        <f t="shared" ca="1" si="6"/>
        <v>8</v>
      </c>
      <c r="AE449" t="e">
        <f>AVERAGE(Table1[[#This Row],[Runs Conceded]]/Table1[[#This Row],[Wickets Taken]])</f>
        <v>#VALUE!</v>
      </c>
    </row>
    <row r="450" spans="1:31" x14ac:dyDescent="0.3">
      <c r="A450" t="s">
        <v>318</v>
      </c>
      <c r="B450" t="s">
        <v>319</v>
      </c>
      <c r="C450" t="s">
        <v>28</v>
      </c>
      <c r="D450">
        <v>12</v>
      </c>
      <c r="E450">
        <v>12</v>
      </c>
      <c r="F450">
        <v>1</v>
      </c>
      <c r="G450">
        <v>324</v>
      </c>
      <c r="H450">
        <v>73</v>
      </c>
      <c r="I450">
        <v>29.45</v>
      </c>
      <c r="J450">
        <v>221</v>
      </c>
      <c r="K450">
        <v>146.6</v>
      </c>
      <c r="L450">
        <v>0</v>
      </c>
      <c r="M450">
        <v>3</v>
      </c>
      <c r="N450">
        <v>1</v>
      </c>
      <c r="O450">
        <v>35</v>
      </c>
      <c r="P450">
        <v>16</v>
      </c>
      <c r="Q450">
        <v>8</v>
      </c>
      <c r="R450">
        <v>18</v>
      </c>
      <c r="S450">
        <v>0</v>
      </c>
      <c r="T450">
        <v>153</v>
      </c>
      <c r="U450">
        <v>8</v>
      </c>
      <c r="V450" s="2">
        <v>44047</v>
      </c>
      <c r="W450">
        <v>19.12</v>
      </c>
      <c r="X450">
        <v>8.5</v>
      </c>
      <c r="Y450">
        <v>13.5</v>
      </c>
      <c r="Z450">
        <v>1</v>
      </c>
      <c r="AA450">
        <v>0</v>
      </c>
      <c r="AB450">
        <v>7</v>
      </c>
      <c r="AC450">
        <v>0</v>
      </c>
      <c r="AD450">
        <f t="shared" ref="AD450:AD513" ca="1" si="7">RANDBETWEEN(3,18)</f>
        <v>5</v>
      </c>
      <c r="AE450">
        <f>AVERAGE(Table1[[#This Row],[Runs Conceded]]/Table1[[#This Row],[Wickets Taken]])</f>
        <v>19.125</v>
      </c>
    </row>
    <row r="451" spans="1:31" x14ac:dyDescent="0.3">
      <c r="A451" t="s">
        <v>318</v>
      </c>
      <c r="B451" t="s">
        <v>319</v>
      </c>
      <c r="C451" t="s">
        <v>30</v>
      </c>
      <c r="D451">
        <v>12</v>
      </c>
      <c r="E451">
        <v>12</v>
      </c>
      <c r="F451">
        <v>1</v>
      </c>
      <c r="G451">
        <v>239</v>
      </c>
      <c r="H451">
        <v>74</v>
      </c>
      <c r="I451">
        <v>21.72</v>
      </c>
      <c r="J451">
        <v>156</v>
      </c>
      <c r="K451">
        <v>153.19999999999999</v>
      </c>
      <c r="L451">
        <v>0</v>
      </c>
      <c r="M451">
        <v>2</v>
      </c>
      <c r="N451">
        <v>2</v>
      </c>
      <c r="O451">
        <v>32</v>
      </c>
      <c r="P451">
        <v>8</v>
      </c>
      <c r="Q451">
        <v>9</v>
      </c>
      <c r="R451">
        <v>13</v>
      </c>
      <c r="S451">
        <v>0</v>
      </c>
      <c r="T451">
        <v>148</v>
      </c>
      <c r="U451">
        <v>2</v>
      </c>
      <c r="V451" s="2">
        <v>44105</v>
      </c>
      <c r="W451">
        <v>74</v>
      </c>
      <c r="X451">
        <v>11.38</v>
      </c>
      <c r="Y451">
        <v>39</v>
      </c>
      <c r="Z451">
        <v>0</v>
      </c>
      <c r="AA451">
        <v>0</v>
      </c>
      <c r="AB451">
        <v>3</v>
      </c>
      <c r="AC451">
        <v>0</v>
      </c>
      <c r="AD451">
        <f t="shared" ca="1" si="7"/>
        <v>12</v>
      </c>
      <c r="AE451">
        <f>AVERAGE(Table1[[#This Row],[Runs Conceded]]/Table1[[#This Row],[Wickets Taken]])</f>
        <v>74</v>
      </c>
    </row>
    <row r="452" spans="1:31" x14ac:dyDescent="0.3">
      <c r="A452" t="s">
        <v>318</v>
      </c>
      <c r="B452" t="s">
        <v>320</v>
      </c>
      <c r="C452" t="s">
        <v>28</v>
      </c>
      <c r="D452">
        <v>15</v>
      </c>
      <c r="E452">
        <v>15</v>
      </c>
      <c r="F452">
        <v>1</v>
      </c>
      <c r="G452">
        <v>399</v>
      </c>
      <c r="H452">
        <v>75</v>
      </c>
      <c r="I452">
        <v>28.5</v>
      </c>
      <c r="J452">
        <v>312</v>
      </c>
      <c r="K452">
        <v>127.88</v>
      </c>
      <c r="L452">
        <v>0</v>
      </c>
      <c r="M452">
        <v>3</v>
      </c>
      <c r="N452">
        <v>0</v>
      </c>
      <c r="O452">
        <v>39</v>
      </c>
      <c r="P452">
        <v>10</v>
      </c>
      <c r="Q452">
        <v>4</v>
      </c>
      <c r="R452">
        <v>10</v>
      </c>
      <c r="S452">
        <v>0</v>
      </c>
      <c r="T452">
        <v>82</v>
      </c>
      <c r="U452">
        <v>0</v>
      </c>
      <c r="V452" t="s">
        <v>37</v>
      </c>
      <c r="W452" t="s">
        <v>37</v>
      </c>
      <c r="X452">
        <v>8.1999999999999993</v>
      </c>
      <c r="Y452" t="s">
        <v>37</v>
      </c>
      <c r="Z452">
        <v>0</v>
      </c>
      <c r="AA452">
        <v>0</v>
      </c>
      <c r="AB452">
        <v>7</v>
      </c>
      <c r="AC452">
        <v>0</v>
      </c>
      <c r="AD452">
        <f t="shared" ca="1" si="7"/>
        <v>13</v>
      </c>
      <c r="AE452" t="e">
        <f>AVERAGE(Table1[[#This Row],[Runs Conceded]]/Table1[[#This Row],[Wickets Taken]])</f>
        <v>#DIV/0!</v>
      </c>
    </row>
    <row r="453" spans="1:31" x14ac:dyDescent="0.3">
      <c r="A453" t="s">
        <v>318</v>
      </c>
      <c r="B453" t="s">
        <v>320</v>
      </c>
      <c r="C453" t="s">
        <v>30</v>
      </c>
      <c r="D453">
        <v>14</v>
      </c>
      <c r="E453">
        <v>14</v>
      </c>
      <c r="F453">
        <v>3</v>
      </c>
      <c r="G453">
        <v>442</v>
      </c>
      <c r="H453">
        <v>84</v>
      </c>
      <c r="I453">
        <v>40.18</v>
      </c>
      <c r="J453">
        <v>307</v>
      </c>
      <c r="K453">
        <v>143.97</v>
      </c>
      <c r="L453">
        <v>0</v>
      </c>
      <c r="M453">
        <v>3</v>
      </c>
      <c r="N453">
        <v>0</v>
      </c>
      <c r="O453">
        <v>42</v>
      </c>
      <c r="P453">
        <v>13</v>
      </c>
      <c r="Q453">
        <v>6</v>
      </c>
      <c r="R453">
        <v>12</v>
      </c>
      <c r="S453">
        <v>0</v>
      </c>
      <c r="T453">
        <v>102</v>
      </c>
      <c r="U453">
        <v>1</v>
      </c>
      <c r="V453" s="2">
        <v>44136</v>
      </c>
      <c r="W453">
        <v>102</v>
      </c>
      <c r="X453">
        <v>8.5</v>
      </c>
      <c r="Y453">
        <v>72</v>
      </c>
      <c r="Z453">
        <v>0</v>
      </c>
      <c r="AA453">
        <v>0</v>
      </c>
      <c r="AB453">
        <v>4</v>
      </c>
      <c r="AC453">
        <v>0</v>
      </c>
      <c r="AD453">
        <f t="shared" ca="1" si="7"/>
        <v>10</v>
      </c>
      <c r="AE453">
        <f>AVERAGE(Table1[[#This Row],[Runs Conceded]]/Table1[[#This Row],[Wickets Taken]])</f>
        <v>102</v>
      </c>
    </row>
    <row r="454" spans="1:31" x14ac:dyDescent="0.3">
      <c r="A454" t="s">
        <v>318</v>
      </c>
      <c r="B454" t="s">
        <v>192</v>
      </c>
      <c r="C454" t="s">
        <v>28</v>
      </c>
      <c r="D454">
        <v>16</v>
      </c>
      <c r="E454">
        <v>15</v>
      </c>
      <c r="F454">
        <v>2</v>
      </c>
      <c r="G454">
        <v>335</v>
      </c>
      <c r="H454">
        <v>53</v>
      </c>
      <c r="I454">
        <v>25.76</v>
      </c>
      <c r="J454">
        <v>266</v>
      </c>
      <c r="K454">
        <v>125.93</v>
      </c>
      <c r="L454">
        <v>0</v>
      </c>
      <c r="M454">
        <v>3</v>
      </c>
      <c r="N454">
        <v>1</v>
      </c>
      <c r="O454">
        <v>38</v>
      </c>
      <c r="P454">
        <v>3</v>
      </c>
      <c r="Q454" t="s">
        <v>37</v>
      </c>
      <c r="R454" t="s">
        <v>37</v>
      </c>
      <c r="S454" t="s">
        <v>37</v>
      </c>
      <c r="T454" t="s">
        <v>37</v>
      </c>
      <c r="U454" t="s">
        <v>37</v>
      </c>
      <c r="V454" t="s">
        <v>37</v>
      </c>
      <c r="W454" t="s">
        <v>37</v>
      </c>
      <c r="X454" t="s">
        <v>37</v>
      </c>
      <c r="Y454" t="s">
        <v>37</v>
      </c>
      <c r="Z454" t="s">
        <v>37</v>
      </c>
      <c r="AA454" t="s">
        <v>37</v>
      </c>
      <c r="AB454">
        <v>11</v>
      </c>
      <c r="AC454">
        <v>3</v>
      </c>
      <c r="AD454">
        <f t="shared" ca="1" si="7"/>
        <v>8</v>
      </c>
      <c r="AE454" t="e">
        <f>AVERAGE(Table1[[#This Row],[Runs Conceded]]/Table1[[#This Row],[Wickets Taken]])</f>
        <v>#VALUE!</v>
      </c>
    </row>
    <row r="455" spans="1:31" x14ac:dyDescent="0.3">
      <c r="A455" t="s">
        <v>318</v>
      </c>
      <c r="B455" t="s">
        <v>192</v>
      </c>
      <c r="C455" t="s">
        <v>30</v>
      </c>
      <c r="D455">
        <v>14</v>
      </c>
      <c r="E455">
        <v>13</v>
      </c>
      <c r="F455">
        <v>3</v>
      </c>
      <c r="G455">
        <v>361</v>
      </c>
      <c r="H455">
        <v>65</v>
      </c>
      <c r="I455">
        <v>36.1</v>
      </c>
      <c r="J455">
        <v>259</v>
      </c>
      <c r="K455">
        <v>139.38</v>
      </c>
      <c r="L455">
        <v>0</v>
      </c>
      <c r="M455">
        <v>2</v>
      </c>
      <c r="N455">
        <v>1</v>
      </c>
      <c r="O455">
        <v>30</v>
      </c>
      <c r="P455">
        <v>11</v>
      </c>
      <c r="Q455" t="s">
        <v>37</v>
      </c>
      <c r="R455" t="s">
        <v>37</v>
      </c>
      <c r="S455" t="s">
        <v>37</v>
      </c>
      <c r="T455" t="s">
        <v>37</v>
      </c>
      <c r="U455" t="s">
        <v>37</v>
      </c>
      <c r="V455" t="s">
        <v>37</v>
      </c>
      <c r="W455" t="s">
        <v>37</v>
      </c>
      <c r="X455" t="s">
        <v>37</v>
      </c>
      <c r="Y455" t="s">
        <v>37</v>
      </c>
      <c r="Z455" t="s">
        <v>37</v>
      </c>
      <c r="AA455" t="s">
        <v>37</v>
      </c>
      <c r="AB455">
        <v>8</v>
      </c>
      <c r="AC455">
        <v>0</v>
      </c>
      <c r="AD455">
        <f t="shared" ca="1" si="7"/>
        <v>13</v>
      </c>
      <c r="AE455" t="e">
        <f>AVERAGE(Table1[[#This Row],[Runs Conceded]]/Table1[[#This Row],[Wickets Taken]])</f>
        <v>#VALUE!</v>
      </c>
    </row>
    <row r="456" spans="1:31" x14ac:dyDescent="0.3">
      <c r="A456" t="s">
        <v>318</v>
      </c>
      <c r="B456" t="s">
        <v>321</v>
      </c>
      <c r="C456" t="s">
        <v>28</v>
      </c>
      <c r="D456">
        <v>7</v>
      </c>
      <c r="E456">
        <v>5</v>
      </c>
      <c r="F456">
        <v>2</v>
      </c>
      <c r="G456">
        <v>77</v>
      </c>
      <c r="H456">
        <v>32</v>
      </c>
      <c r="I456">
        <v>25.66</v>
      </c>
      <c r="J456">
        <v>59</v>
      </c>
      <c r="K456">
        <v>130.5</v>
      </c>
      <c r="L456">
        <v>0</v>
      </c>
      <c r="M456">
        <v>0</v>
      </c>
      <c r="N456">
        <v>0</v>
      </c>
      <c r="O456">
        <v>7</v>
      </c>
      <c r="P456">
        <v>0</v>
      </c>
      <c r="Q456">
        <v>7</v>
      </c>
      <c r="R456">
        <v>17</v>
      </c>
      <c r="S456">
        <v>0</v>
      </c>
      <c r="T456">
        <v>167</v>
      </c>
      <c r="U456">
        <v>2</v>
      </c>
      <c r="V456" s="1">
        <v>44927</v>
      </c>
      <c r="W456">
        <v>83.5</v>
      </c>
      <c r="X456">
        <v>9.82</v>
      </c>
      <c r="Y456">
        <v>51</v>
      </c>
      <c r="Z456">
        <v>0</v>
      </c>
      <c r="AA456">
        <v>0</v>
      </c>
      <c r="AB456">
        <v>3</v>
      </c>
      <c r="AC456">
        <v>0</v>
      </c>
      <c r="AD456">
        <f t="shared" ca="1" si="7"/>
        <v>5</v>
      </c>
      <c r="AE456">
        <f>AVERAGE(Table1[[#This Row],[Runs Conceded]]/Table1[[#This Row],[Wickets Taken]])</f>
        <v>83.5</v>
      </c>
    </row>
    <row r="457" spans="1:31" x14ac:dyDescent="0.3">
      <c r="A457" t="s">
        <v>318</v>
      </c>
      <c r="B457" t="s">
        <v>321</v>
      </c>
      <c r="C457" t="s">
        <v>30</v>
      </c>
      <c r="D457">
        <v>8</v>
      </c>
      <c r="E457">
        <v>6</v>
      </c>
      <c r="F457">
        <v>2</v>
      </c>
      <c r="G457">
        <v>54</v>
      </c>
      <c r="H457">
        <v>21</v>
      </c>
      <c r="I457">
        <v>13.5</v>
      </c>
      <c r="J457">
        <v>57</v>
      </c>
      <c r="K457">
        <v>94.73</v>
      </c>
      <c r="L457">
        <v>0</v>
      </c>
      <c r="M457">
        <v>0</v>
      </c>
      <c r="N457">
        <v>0</v>
      </c>
      <c r="O457">
        <v>4</v>
      </c>
      <c r="P457">
        <v>0</v>
      </c>
      <c r="Q457">
        <v>8</v>
      </c>
      <c r="R457">
        <v>26.2</v>
      </c>
      <c r="S457">
        <v>0</v>
      </c>
      <c r="T457">
        <v>258</v>
      </c>
      <c r="U457">
        <v>6</v>
      </c>
      <c r="V457" s="1">
        <v>12451</v>
      </c>
      <c r="W457">
        <v>43</v>
      </c>
      <c r="X457">
        <v>9.7899999999999991</v>
      </c>
      <c r="Y457">
        <v>26.3</v>
      </c>
      <c r="Z457">
        <v>0</v>
      </c>
      <c r="AA457">
        <v>0</v>
      </c>
      <c r="AB457">
        <v>3</v>
      </c>
      <c r="AC457">
        <v>0</v>
      </c>
      <c r="AD457">
        <f t="shared" ca="1" si="7"/>
        <v>9</v>
      </c>
      <c r="AE457">
        <f>AVERAGE(Table1[[#This Row],[Runs Conceded]]/Table1[[#This Row],[Wickets Taken]])</f>
        <v>43</v>
      </c>
    </row>
    <row r="458" spans="1:31" x14ac:dyDescent="0.3">
      <c r="A458" t="s">
        <v>318</v>
      </c>
      <c r="B458" t="s">
        <v>275</v>
      </c>
      <c r="C458" t="s">
        <v>28</v>
      </c>
      <c r="D458">
        <v>16</v>
      </c>
      <c r="E458">
        <v>16</v>
      </c>
      <c r="F458">
        <v>0</v>
      </c>
      <c r="G458">
        <v>354</v>
      </c>
      <c r="H458">
        <v>60</v>
      </c>
      <c r="I458">
        <v>22.12</v>
      </c>
      <c r="J458">
        <v>262</v>
      </c>
      <c r="K458">
        <v>135.11000000000001</v>
      </c>
      <c r="L458">
        <v>0</v>
      </c>
      <c r="M458">
        <v>1</v>
      </c>
      <c r="N458">
        <v>1</v>
      </c>
      <c r="O458">
        <v>38</v>
      </c>
      <c r="P458">
        <v>16</v>
      </c>
      <c r="Q458" t="s">
        <v>37</v>
      </c>
      <c r="R458" t="s">
        <v>37</v>
      </c>
      <c r="S458" t="s">
        <v>37</v>
      </c>
      <c r="T458" t="s">
        <v>37</v>
      </c>
      <c r="U458" t="s">
        <v>37</v>
      </c>
      <c r="V458" t="s">
        <v>37</v>
      </c>
      <c r="W458" t="s">
        <v>37</v>
      </c>
      <c r="X458" t="s">
        <v>37</v>
      </c>
      <c r="Y458" t="s">
        <v>37</v>
      </c>
      <c r="Z458" t="s">
        <v>37</v>
      </c>
      <c r="AA458" t="s">
        <v>37</v>
      </c>
      <c r="AB458">
        <v>0</v>
      </c>
      <c r="AC458">
        <v>0</v>
      </c>
      <c r="AD458">
        <f t="shared" ca="1" si="7"/>
        <v>17</v>
      </c>
      <c r="AE458" t="e">
        <f>AVERAGE(Table1[[#This Row],[Runs Conceded]]/Table1[[#This Row],[Wickets Taken]])</f>
        <v>#VALUE!</v>
      </c>
    </row>
    <row r="459" spans="1:31" x14ac:dyDescent="0.3">
      <c r="A459" t="s">
        <v>318</v>
      </c>
      <c r="B459" t="s">
        <v>275</v>
      </c>
      <c r="C459" t="s">
        <v>30</v>
      </c>
      <c r="D459">
        <v>11</v>
      </c>
      <c r="E459">
        <v>11</v>
      </c>
      <c r="F459">
        <v>0</v>
      </c>
      <c r="G459">
        <v>319</v>
      </c>
      <c r="H459">
        <v>72</v>
      </c>
      <c r="I459">
        <v>29</v>
      </c>
      <c r="J459">
        <v>217</v>
      </c>
      <c r="K459">
        <v>147</v>
      </c>
      <c r="L459">
        <v>0</v>
      </c>
      <c r="M459">
        <v>2</v>
      </c>
      <c r="N459">
        <v>0</v>
      </c>
      <c r="O459">
        <v>29</v>
      </c>
      <c r="P459">
        <v>18</v>
      </c>
      <c r="Q459" t="s">
        <v>37</v>
      </c>
      <c r="R459" t="s">
        <v>37</v>
      </c>
      <c r="S459" t="s">
        <v>37</v>
      </c>
      <c r="T459" t="s">
        <v>37</v>
      </c>
      <c r="U459" t="s">
        <v>37</v>
      </c>
      <c r="V459" t="s">
        <v>37</v>
      </c>
      <c r="W459" t="s">
        <v>37</v>
      </c>
      <c r="X459" t="s">
        <v>37</v>
      </c>
      <c r="Y459" t="s">
        <v>37</v>
      </c>
      <c r="Z459" t="s">
        <v>37</v>
      </c>
      <c r="AA459" t="s">
        <v>37</v>
      </c>
      <c r="AB459">
        <v>8</v>
      </c>
      <c r="AC459">
        <v>0</v>
      </c>
      <c r="AD459">
        <f t="shared" ca="1" si="7"/>
        <v>6</v>
      </c>
      <c r="AE459" t="e">
        <f>AVERAGE(Table1[[#This Row],[Runs Conceded]]/Table1[[#This Row],[Wickets Taken]])</f>
        <v>#VALUE!</v>
      </c>
    </row>
    <row r="460" spans="1:31" x14ac:dyDescent="0.3">
      <c r="A460" t="s">
        <v>318</v>
      </c>
      <c r="B460" t="s">
        <v>322</v>
      </c>
      <c r="C460" t="s">
        <v>28</v>
      </c>
      <c r="D460">
        <v>15</v>
      </c>
      <c r="E460">
        <v>15</v>
      </c>
      <c r="F460">
        <v>6</v>
      </c>
      <c r="G460">
        <v>191</v>
      </c>
      <c r="H460" t="s">
        <v>66</v>
      </c>
      <c r="I460">
        <v>21.22</v>
      </c>
      <c r="J460">
        <v>177</v>
      </c>
      <c r="K460">
        <v>107.9</v>
      </c>
      <c r="L460">
        <v>0</v>
      </c>
      <c r="M460">
        <v>0</v>
      </c>
      <c r="N460">
        <v>1</v>
      </c>
      <c r="O460">
        <v>14</v>
      </c>
      <c r="P460">
        <v>4</v>
      </c>
      <c r="Q460">
        <v>14</v>
      </c>
      <c r="R460">
        <v>40.1</v>
      </c>
      <c r="S460">
        <v>0</v>
      </c>
      <c r="T460">
        <v>311</v>
      </c>
      <c r="U460">
        <v>8</v>
      </c>
      <c r="V460" s="1">
        <v>43132</v>
      </c>
      <c r="W460">
        <v>38.869999999999997</v>
      </c>
      <c r="X460">
        <v>7.74</v>
      </c>
      <c r="Y460">
        <v>30.1</v>
      </c>
      <c r="Z460">
        <v>0</v>
      </c>
      <c r="AA460">
        <v>0</v>
      </c>
      <c r="AB460">
        <v>4</v>
      </c>
      <c r="AC460">
        <v>0</v>
      </c>
      <c r="AD460">
        <f t="shared" ca="1" si="7"/>
        <v>4</v>
      </c>
      <c r="AE460">
        <f>AVERAGE(Table1[[#This Row],[Runs Conceded]]/Table1[[#This Row],[Wickets Taken]])</f>
        <v>38.875</v>
      </c>
    </row>
    <row r="461" spans="1:31" x14ac:dyDescent="0.3">
      <c r="A461" t="s">
        <v>318</v>
      </c>
      <c r="B461" t="s">
        <v>322</v>
      </c>
      <c r="C461" t="s">
        <v>30</v>
      </c>
      <c r="D461">
        <v>12</v>
      </c>
      <c r="E461">
        <v>10</v>
      </c>
      <c r="F461">
        <v>6</v>
      </c>
      <c r="G461">
        <v>158</v>
      </c>
      <c r="H461">
        <v>28</v>
      </c>
      <c r="I461">
        <v>39.5</v>
      </c>
      <c r="J461">
        <v>113</v>
      </c>
      <c r="K461">
        <v>139.82</v>
      </c>
      <c r="L461">
        <v>0</v>
      </c>
      <c r="M461">
        <v>0</v>
      </c>
      <c r="N461">
        <v>0</v>
      </c>
      <c r="O461">
        <v>13</v>
      </c>
      <c r="P461">
        <v>4</v>
      </c>
      <c r="Q461">
        <v>12</v>
      </c>
      <c r="R461">
        <v>38</v>
      </c>
      <c r="S461">
        <v>0</v>
      </c>
      <c r="T461">
        <v>349</v>
      </c>
      <c r="U461">
        <v>5</v>
      </c>
      <c r="V461" s="1">
        <v>46784</v>
      </c>
      <c r="W461">
        <v>69.8</v>
      </c>
      <c r="X461">
        <v>9.18</v>
      </c>
      <c r="Y461">
        <v>45.6</v>
      </c>
      <c r="Z461">
        <v>0</v>
      </c>
      <c r="AA461">
        <v>0</v>
      </c>
      <c r="AB461">
        <v>2</v>
      </c>
      <c r="AC461">
        <v>0</v>
      </c>
      <c r="AD461">
        <f t="shared" ca="1" si="7"/>
        <v>18</v>
      </c>
      <c r="AE461">
        <f>AVERAGE(Table1[[#This Row],[Runs Conceded]]/Table1[[#This Row],[Wickets Taken]])</f>
        <v>69.8</v>
      </c>
    </row>
    <row r="462" spans="1:31" x14ac:dyDescent="0.3">
      <c r="A462" t="s">
        <v>318</v>
      </c>
      <c r="B462" t="s">
        <v>323</v>
      </c>
      <c r="C462" t="s">
        <v>28</v>
      </c>
      <c r="D462">
        <v>14</v>
      </c>
      <c r="E462">
        <v>5</v>
      </c>
      <c r="F462">
        <v>3</v>
      </c>
      <c r="G462">
        <v>27</v>
      </c>
      <c r="H462">
        <v>10</v>
      </c>
      <c r="I462">
        <v>13.5</v>
      </c>
      <c r="J462">
        <v>16</v>
      </c>
      <c r="K462">
        <v>168.75</v>
      </c>
      <c r="L462">
        <v>0</v>
      </c>
      <c r="M462">
        <v>0</v>
      </c>
      <c r="N462">
        <v>0</v>
      </c>
      <c r="O462">
        <v>3</v>
      </c>
      <c r="P462">
        <v>0</v>
      </c>
      <c r="Q462">
        <v>14</v>
      </c>
      <c r="R462">
        <v>49</v>
      </c>
      <c r="S462">
        <v>4</v>
      </c>
      <c r="T462">
        <v>364</v>
      </c>
      <c r="U462">
        <v>18</v>
      </c>
      <c r="V462" s="1">
        <v>41730</v>
      </c>
      <c r="W462">
        <v>20.22</v>
      </c>
      <c r="X462">
        <v>7.42</v>
      </c>
      <c r="Y462">
        <v>16.3</v>
      </c>
      <c r="Z462">
        <v>1</v>
      </c>
      <c r="AA462">
        <v>0</v>
      </c>
      <c r="AB462">
        <v>2</v>
      </c>
      <c r="AC462">
        <v>0</v>
      </c>
      <c r="AD462">
        <f t="shared" ca="1" si="7"/>
        <v>12</v>
      </c>
      <c r="AE462">
        <f>AVERAGE(Table1[[#This Row],[Runs Conceded]]/Table1[[#This Row],[Wickets Taken]])</f>
        <v>20.222222222222221</v>
      </c>
    </row>
    <row r="463" spans="1:31" x14ac:dyDescent="0.3">
      <c r="A463" t="s">
        <v>318</v>
      </c>
      <c r="B463" t="s">
        <v>323</v>
      </c>
      <c r="C463" t="s">
        <v>30</v>
      </c>
      <c r="D463">
        <v>6</v>
      </c>
      <c r="E463">
        <v>1</v>
      </c>
      <c r="F463">
        <v>0</v>
      </c>
      <c r="G463">
        <v>1</v>
      </c>
      <c r="H463">
        <v>1</v>
      </c>
      <c r="I463">
        <v>1</v>
      </c>
      <c r="J463">
        <v>2</v>
      </c>
      <c r="K463">
        <v>50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6</v>
      </c>
      <c r="R463">
        <v>18.5</v>
      </c>
      <c r="S463">
        <v>0</v>
      </c>
      <c r="T463">
        <v>173</v>
      </c>
      <c r="U463">
        <v>3</v>
      </c>
      <c r="V463" s="1">
        <v>45292</v>
      </c>
      <c r="W463">
        <v>57.66</v>
      </c>
      <c r="X463">
        <v>9.18</v>
      </c>
      <c r="Y463">
        <v>37.6</v>
      </c>
      <c r="Z463">
        <v>0</v>
      </c>
      <c r="AA463">
        <v>0</v>
      </c>
      <c r="AB463">
        <v>1</v>
      </c>
      <c r="AC463">
        <v>0</v>
      </c>
      <c r="AD463">
        <f t="shared" ca="1" si="7"/>
        <v>3</v>
      </c>
      <c r="AE463">
        <f>AVERAGE(Table1[[#This Row],[Runs Conceded]]/Table1[[#This Row],[Wickets Taken]])</f>
        <v>57.666666666666664</v>
      </c>
    </row>
    <row r="464" spans="1:31" x14ac:dyDescent="0.3">
      <c r="A464" t="s">
        <v>318</v>
      </c>
      <c r="B464" t="s">
        <v>324</v>
      </c>
      <c r="C464" t="s">
        <v>28</v>
      </c>
      <c r="D464">
        <v>15</v>
      </c>
      <c r="E464">
        <v>13</v>
      </c>
      <c r="F464">
        <v>5</v>
      </c>
      <c r="G464">
        <v>99</v>
      </c>
      <c r="H464" t="s">
        <v>257</v>
      </c>
      <c r="I464">
        <v>12.37</v>
      </c>
      <c r="J464">
        <v>82</v>
      </c>
      <c r="K464">
        <v>120.73</v>
      </c>
      <c r="L464">
        <v>0</v>
      </c>
      <c r="M464">
        <v>0</v>
      </c>
      <c r="N464">
        <v>1</v>
      </c>
      <c r="O464">
        <v>11</v>
      </c>
      <c r="P464">
        <v>1</v>
      </c>
      <c r="Q464">
        <v>15</v>
      </c>
      <c r="R464">
        <v>56</v>
      </c>
      <c r="S464">
        <v>0</v>
      </c>
      <c r="T464">
        <v>494</v>
      </c>
      <c r="U464">
        <v>17</v>
      </c>
      <c r="V464" s="1">
        <v>44652</v>
      </c>
      <c r="W464">
        <v>29.05</v>
      </c>
      <c r="X464">
        <v>8.82</v>
      </c>
      <c r="Y464">
        <v>19.7</v>
      </c>
      <c r="Z464">
        <v>1</v>
      </c>
      <c r="AA464">
        <v>0</v>
      </c>
      <c r="AB464">
        <v>6</v>
      </c>
      <c r="AC464">
        <v>0</v>
      </c>
      <c r="AD464">
        <f t="shared" ca="1" si="7"/>
        <v>4</v>
      </c>
      <c r="AE464">
        <f>AVERAGE(Table1[[#This Row],[Runs Conceded]]/Table1[[#This Row],[Wickets Taken]])</f>
        <v>29.058823529411764</v>
      </c>
    </row>
    <row r="465" spans="1:31" x14ac:dyDescent="0.3">
      <c r="A465" t="s">
        <v>318</v>
      </c>
      <c r="B465" t="s">
        <v>325</v>
      </c>
      <c r="C465" t="s">
        <v>28</v>
      </c>
      <c r="D465">
        <v>4</v>
      </c>
      <c r="E465">
        <v>2</v>
      </c>
      <c r="F465">
        <v>0</v>
      </c>
      <c r="G465">
        <v>24</v>
      </c>
      <c r="H465">
        <v>19</v>
      </c>
      <c r="I465">
        <v>12</v>
      </c>
      <c r="J465">
        <v>14</v>
      </c>
      <c r="K465">
        <v>171.42</v>
      </c>
      <c r="L465">
        <v>0</v>
      </c>
      <c r="M465">
        <v>0</v>
      </c>
      <c r="N465">
        <v>0</v>
      </c>
      <c r="O465">
        <v>2</v>
      </c>
      <c r="P465">
        <v>2</v>
      </c>
      <c r="Q465" t="s">
        <v>37</v>
      </c>
      <c r="R465" t="s">
        <v>37</v>
      </c>
      <c r="S465" t="s">
        <v>37</v>
      </c>
      <c r="T465" t="s">
        <v>37</v>
      </c>
      <c r="U465" t="s">
        <v>37</v>
      </c>
      <c r="V465" t="s">
        <v>37</v>
      </c>
      <c r="W465" t="s">
        <v>37</v>
      </c>
      <c r="X465" t="s">
        <v>37</v>
      </c>
      <c r="Y465" t="s">
        <v>37</v>
      </c>
      <c r="Z465" t="s">
        <v>37</v>
      </c>
      <c r="AA465" t="s">
        <v>37</v>
      </c>
      <c r="AB465">
        <v>2</v>
      </c>
      <c r="AC465">
        <v>0</v>
      </c>
      <c r="AD465">
        <f t="shared" ca="1" si="7"/>
        <v>6</v>
      </c>
      <c r="AE465" t="e">
        <f>AVERAGE(Table1[[#This Row],[Runs Conceded]]/Table1[[#This Row],[Wickets Taken]])</f>
        <v>#VALUE!</v>
      </c>
    </row>
    <row r="466" spans="1:31" x14ac:dyDescent="0.3">
      <c r="A466" t="s">
        <v>318</v>
      </c>
      <c r="B466" t="s">
        <v>237</v>
      </c>
      <c r="C466" t="s">
        <v>28</v>
      </c>
      <c r="D466">
        <v>5</v>
      </c>
      <c r="E466">
        <v>5</v>
      </c>
      <c r="F466">
        <v>0</v>
      </c>
      <c r="G466">
        <v>42</v>
      </c>
      <c r="H466">
        <v>27</v>
      </c>
      <c r="I466">
        <v>8.4</v>
      </c>
      <c r="J466">
        <v>41</v>
      </c>
      <c r="K466">
        <v>102.43</v>
      </c>
      <c r="L466">
        <v>0</v>
      </c>
      <c r="M466">
        <v>0</v>
      </c>
      <c r="N466">
        <v>1</v>
      </c>
      <c r="O466">
        <v>5</v>
      </c>
      <c r="P466">
        <v>0</v>
      </c>
      <c r="Q466" t="s">
        <v>37</v>
      </c>
      <c r="R466" t="s">
        <v>37</v>
      </c>
      <c r="S466" t="s">
        <v>37</v>
      </c>
      <c r="T466" t="s">
        <v>37</v>
      </c>
      <c r="U466" t="s">
        <v>37</v>
      </c>
      <c r="V466" t="s">
        <v>37</v>
      </c>
      <c r="W466" t="s">
        <v>37</v>
      </c>
      <c r="X466" t="s">
        <v>37</v>
      </c>
      <c r="Y466" t="s">
        <v>37</v>
      </c>
      <c r="Z466" t="s">
        <v>37</v>
      </c>
      <c r="AA466" t="s">
        <v>37</v>
      </c>
      <c r="AB466">
        <v>1</v>
      </c>
      <c r="AC466">
        <v>0</v>
      </c>
      <c r="AD466">
        <f t="shared" ca="1" si="7"/>
        <v>12</v>
      </c>
      <c r="AE466" t="e">
        <f>AVERAGE(Table1[[#This Row],[Runs Conceded]]/Table1[[#This Row],[Wickets Taken]])</f>
        <v>#VALUE!</v>
      </c>
    </row>
    <row r="467" spans="1:31" x14ac:dyDescent="0.3">
      <c r="A467" t="s">
        <v>318</v>
      </c>
      <c r="B467" t="s">
        <v>237</v>
      </c>
      <c r="C467" t="s">
        <v>30</v>
      </c>
      <c r="D467">
        <v>11</v>
      </c>
      <c r="E467">
        <v>10</v>
      </c>
      <c r="F467">
        <v>0</v>
      </c>
      <c r="G467">
        <v>277</v>
      </c>
      <c r="H467">
        <v>61</v>
      </c>
      <c r="I467">
        <v>27.7</v>
      </c>
      <c r="J467">
        <v>206</v>
      </c>
      <c r="K467">
        <v>134.46</v>
      </c>
      <c r="L467">
        <v>0</v>
      </c>
      <c r="M467">
        <v>1</v>
      </c>
      <c r="N467">
        <v>0</v>
      </c>
      <c r="O467">
        <v>29</v>
      </c>
      <c r="P467">
        <v>13</v>
      </c>
      <c r="Q467" t="s">
        <v>37</v>
      </c>
      <c r="R467" t="s">
        <v>37</v>
      </c>
      <c r="S467" t="s">
        <v>37</v>
      </c>
      <c r="T467" t="s">
        <v>37</v>
      </c>
      <c r="U467" t="s">
        <v>37</v>
      </c>
      <c r="V467" t="s">
        <v>37</v>
      </c>
      <c r="W467" t="s">
        <v>37</v>
      </c>
      <c r="X467" t="s">
        <v>37</v>
      </c>
      <c r="Y467" t="s">
        <v>37</v>
      </c>
      <c r="Z467" t="s">
        <v>37</v>
      </c>
      <c r="AA467" t="s">
        <v>37</v>
      </c>
      <c r="AB467">
        <v>3</v>
      </c>
      <c r="AC467">
        <v>0</v>
      </c>
      <c r="AD467">
        <f t="shared" ca="1" si="7"/>
        <v>4</v>
      </c>
      <c r="AE467" t="e">
        <f>AVERAGE(Table1[[#This Row],[Runs Conceded]]/Table1[[#This Row],[Wickets Taken]])</f>
        <v>#VALUE!</v>
      </c>
    </row>
    <row r="468" spans="1:31" x14ac:dyDescent="0.3">
      <c r="A468" t="s">
        <v>318</v>
      </c>
      <c r="B468" t="s">
        <v>139</v>
      </c>
      <c r="C468" t="s">
        <v>28</v>
      </c>
      <c r="D468">
        <v>4</v>
      </c>
      <c r="E468">
        <v>3</v>
      </c>
      <c r="F468">
        <v>0</v>
      </c>
      <c r="G468">
        <v>20</v>
      </c>
      <c r="H468">
        <v>12</v>
      </c>
      <c r="I468">
        <v>6.66</v>
      </c>
      <c r="J468">
        <v>27</v>
      </c>
      <c r="K468">
        <v>74.069999999999993</v>
      </c>
      <c r="L468">
        <v>0</v>
      </c>
      <c r="M468">
        <v>0</v>
      </c>
      <c r="N468">
        <v>0</v>
      </c>
      <c r="O468">
        <v>1</v>
      </c>
      <c r="P468">
        <v>0</v>
      </c>
      <c r="Q468" t="s">
        <v>37</v>
      </c>
      <c r="R468" t="s">
        <v>37</v>
      </c>
      <c r="S468" t="s">
        <v>37</v>
      </c>
      <c r="T468" t="s">
        <v>37</v>
      </c>
      <c r="U468" t="s">
        <v>37</v>
      </c>
      <c r="V468" t="s">
        <v>37</v>
      </c>
      <c r="W468" t="s">
        <v>37</v>
      </c>
      <c r="X468" t="s">
        <v>37</v>
      </c>
      <c r="Y468" t="s">
        <v>37</v>
      </c>
      <c r="Z468" t="s">
        <v>37</v>
      </c>
      <c r="AA468" t="s">
        <v>37</v>
      </c>
      <c r="AB468">
        <v>0</v>
      </c>
      <c r="AC468">
        <v>0</v>
      </c>
      <c r="AD468">
        <f t="shared" ca="1" si="7"/>
        <v>8</v>
      </c>
      <c r="AE468" t="e">
        <f>AVERAGE(Table1[[#This Row],[Runs Conceded]]/Table1[[#This Row],[Wickets Taken]])</f>
        <v>#VALUE!</v>
      </c>
    </row>
    <row r="469" spans="1:31" x14ac:dyDescent="0.3">
      <c r="A469" t="s">
        <v>318</v>
      </c>
      <c r="B469" t="s">
        <v>139</v>
      </c>
      <c r="C469" t="s">
        <v>30</v>
      </c>
      <c r="D469">
        <v>1</v>
      </c>
      <c r="E469">
        <v>1</v>
      </c>
      <c r="F469">
        <v>0</v>
      </c>
      <c r="G469">
        <v>0</v>
      </c>
      <c r="H469">
        <v>0</v>
      </c>
      <c r="I469">
        <v>0</v>
      </c>
      <c r="J469">
        <v>1</v>
      </c>
      <c r="K469">
        <v>0</v>
      </c>
      <c r="L469">
        <v>0</v>
      </c>
      <c r="M469">
        <v>0</v>
      </c>
      <c r="N469">
        <v>1</v>
      </c>
      <c r="O469">
        <v>0</v>
      </c>
      <c r="P469">
        <v>0</v>
      </c>
      <c r="Q469" t="s">
        <v>37</v>
      </c>
      <c r="R469" t="s">
        <v>37</v>
      </c>
      <c r="S469" t="s">
        <v>37</v>
      </c>
      <c r="T469" t="s">
        <v>37</v>
      </c>
      <c r="U469" t="s">
        <v>37</v>
      </c>
      <c r="V469" t="s">
        <v>37</v>
      </c>
      <c r="W469" t="s">
        <v>37</v>
      </c>
      <c r="X469" t="s">
        <v>37</v>
      </c>
      <c r="Y469" t="s">
        <v>37</v>
      </c>
      <c r="Z469" t="s">
        <v>37</v>
      </c>
      <c r="AA469" t="s">
        <v>37</v>
      </c>
      <c r="AB469">
        <v>0</v>
      </c>
      <c r="AC469">
        <v>0</v>
      </c>
      <c r="AD469">
        <f t="shared" ca="1" si="7"/>
        <v>18</v>
      </c>
      <c r="AE469" t="e">
        <f>AVERAGE(Table1[[#This Row],[Runs Conceded]]/Table1[[#This Row],[Wickets Taken]])</f>
        <v>#VALUE!</v>
      </c>
    </row>
    <row r="470" spans="1:31" x14ac:dyDescent="0.3">
      <c r="A470" t="s">
        <v>318</v>
      </c>
      <c r="B470" t="s">
        <v>326</v>
      </c>
      <c r="C470" t="s">
        <v>28</v>
      </c>
      <c r="D470">
        <v>16</v>
      </c>
      <c r="E470">
        <v>7</v>
      </c>
      <c r="F470">
        <v>3</v>
      </c>
      <c r="G470">
        <v>24</v>
      </c>
      <c r="H470">
        <v>15</v>
      </c>
      <c r="I470">
        <v>6</v>
      </c>
      <c r="J470">
        <v>26</v>
      </c>
      <c r="K470">
        <v>92.3</v>
      </c>
      <c r="L470">
        <v>0</v>
      </c>
      <c r="M470">
        <v>0</v>
      </c>
      <c r="N470">
        <v>1</v>
      </c>
      <c r="O470">
        <v>3</v>
      </c>
      <c r="P470">
        <v>0</v>
      </c>
      <c r="Q470">
        <v>16</v>
      </c>
      <c r="R470">
        <v>51.3</v>
      </c>
      <c r="S470">
        <v>2</v>
      </c>
      <c r="T470">
        <v>401</v>
      </c>
      <c r="U470">
        <v>9</v>
      </c>
      <c r="V470" s="1">
        <v>43497</v>
      </c>
      <c r="W470">
        <v>44.55</v>
      </c>
      <c r="X470">
        <v>7.78</v>
      </c>
      <c r="Y470">
        <v>34.299999999999997</v>
      </c>
      <c r="Z470">
        <v>0</v>
      </c>
      <c r="AA470">
        <v>0</v>
      </c>
      <c r="AB470">
        <v>2</v>
      </c>
      <c r="AC470">
        <v>0</v>
      </c>
      <c r="AD470">
        <f t="shared" ca="1" si="7"/>
        <v>5</v>
      </c>
      <c r="AE470">
        <f>AVERAGE(Table1[[#This Row],[Runs Conceded]]/Table1[[#This Row],[Wickets Taken]])</f>
        <v>44.555555555555557</v>
      </c>
    </row>
    <row r="471" spans="1:31" x14ac:dyDescent="0.3">
      <c r="A471" t="s">
        <v>318</v>
      </c>
      <c r="B471" t="s">
        <v>326</v>
      </c>
      <c r="C471" t="s">
        <v>30</v>
      </c>
      <c r="D471">
        <v>6</v>
      </c>
      <c r="E471">
        <v>2</v>
      </c>
      <c r="F471">
        <v>1</v>
      </c>
      <c r="G471">
        <v>8</v>
      </c>
      <c r="H471" t="s">
        <v>57</v>
      </c>
      <c r="I471">
        <v>8</v>
      </c>
      <c r="J471">
        <v>9</v>
      </c>
      <c r="K471">
        <v>88.88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6</v>
      </c>
      <c r="R471">
        <v>16.3</v>
      </c>
      <c r="S471">
        <v>0</v>
      </c>
      <c r="T471">
        <v>151</v>
      </c>
      <c r="U471">
        <v>6</v>
      </c>
      <c r="V471" s="1">
        <v>44593</v>
      </c>
      <c r="W471">
        <v>25.16</v>
      </c>
      <c r="X471">
        <v>9.15</v>
      </c>
      <c r="Y471">
        <v>16.5</v>
      </c>
      <c r="Z471">
        <v>0</v>
      </c>
      <c r="AA471">
        <v>0</v>
      </c>
      <c r="AB471">
        <v>0</v>
      </c>
      <c r="AC471">
        <v>0</v>
      </c>
      <c r="AD471">
        <f t="shared" ca="1" si="7"/>
        <v>10</v>
      </c>
      <c r="AE471">
        <f>AVERAGE(Table1[[#This Row],[Runs Conceded]]/Table1[[#This Row],[Wickets Taken]])</f>
        <v>25.166666666666668</v>
      </c>
    </row>
    <row r="472" spans="1:31" x14ac:dyDescent="0.3">
      <c r="A472" t="s">
        <v>318</v>
      </c>
      <c r="B472" t="s">
        <v>276</v>
      </c>
      <c r="C472" t="s">
        <v>28</v>
      </c>
      <c r="D472">
        <v>1</v>
      </c>
      <c r="E472">
        <v>1</v>
      </c>
      <c r="F472">
        <v>0</v>
      </c>
      <c r="G472">
        <v>1</v>
      </c>
      <c r="H472">
        <v>1</v>
      </c>
      <c r="I472">
        <v>1</v>
      </c>
      <c r="J472">
        <v>2</v>
      </c>
      <c r="K472">
        <v>50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2</v>
      </c>
      <c r="S472">
        <v>0</v>
      </c>
      <c r="T472">
        <v>17</v>
      </c>
      <c r="U472">
        <v>0</v>
      </c>
      <c r="V472" t="s">
        <v>37</v>
      </c>
      <c r="W472" t="s">
        <v>37</v>
      </c>
      <c r="X472">
        <v>8.5</v>
      </c>
      <c r="Y472" t="s">
        <v>37</v>
      </c>
      <c r="Z472">
        <v>0</v>
      </c>
      <c r="AA472">
        <v>0</v>
      </c>
      <c r="AB472">
        <v>0</v>
      </c>
      <c r="AC472">
        <v>0</v>
      </c>
      <c r="AD472">
        <f t="shared" ca="1" si="7"/>
        <v>10</v>
      </c>
      <c r="AE472" t="e">
        <f>AVERAGE(Table1[[#This Row],[Runs Conceded]]/Table1[[#This Row],[Wickets Taken]])</f>
        <v>#DIV/0!</v>
      </c>
    </row>
    <row r="473" spans="1:31" x14ac:dyDescent="0.3">
      <c r="A473" t="s">
        <v>318</v>
      </c>
      <c r="B473" t="s">
        <v>327</v>
      </c>
      <c r="C473" t="s">
        <v>28</v>
      </c>
      <c r="D473">
        <v>7</v>
      </c>
      <c r="E473">
        <v>2</v>
      </c>
      <c r="F473">
        <v>1</v>
      </c>
      <c r="G473">
        <v>0</v>
      </c>
      <c r="H473" t="s">
        <v>148</v>
      </c>
      <c r="I473">
        <v>0</v>
      </c>
      <c r="J473">
        <v>1</v>
      </c>
      <c r="K473">
        <v>0</v>
      </c>
      <c r="L473">
        <v>0</v>
      </c>
      <c r="M473">
        <v>0</v>
      </c>
      <c r="N473">
        <v>1</v>
      </c>
      <c r="O473">
        <v>0</v>
      </c>
      <c r="P473">
        <v>0</v>
      </c>
      <c r="Q473">
        <v>7</v>
      </c>
      <c r="R473">
        <v>23</v>
      </c>
      <c r="S473">
        <v>0</v>
      </c>
      <c r="T473">
        <v>192</v>
      </c>
      <c r="U473">
        <v>6</v>
      </c>
      <c r="V473" s="1">
        <v>43891</v>
      </c>
      <c r="W473">
        <v>32</v>
      </c>
      <c r="X473">
        <v>8.34</v>
      </c>
      <c r="Y473">
        <v>23</v>
      </c>
      <c r="Z473">
        <v>0</v>
      </c>
      <c r="AA473">
        <v>0</v>
      </c>
      <c r="AB473">
        <v>0</v>
      </c>
      <c r="AC473">
        <v>0</v>
      </c>
      <c r="AD473">
        <f t="shared" ca="1" si="7"/>
        <v>15</v>
      </c>
      <c r="AE473">
        <f>AVERAGE(Table1[[#This Row],[Runs Conceded]]/Table1[[#This Row],[Wickets Taken]])</f>
        <v>32</v>
      </c>
    </row>
    <row r="474" spans="1:31" x14ac:dyDescent="0.3">
      <c r="A474" t="s">
        <v>318</v>
      </c>
      <c r="B474" t="s">
        <v>327</v>
      </c>
      <c r="C474" t="s">
        <v>30</v>
      </c>
      <c r="D474">
        <v>3</v>
      </c>
      <c r="E474" t="s">
        <v>37</v>
      </c>
      <c r="F474" t="s">
        <v>37</v>
      </c>
      <c r="G474" t="s">
        <v>37</v>
      </c>
      <c r="H474" t="s">
        <v>37</v>
      </c>
      <c r="I474" t="s">
        <v>37</v>
      </c>
      <c r="J474" t="s">
        <v>37</v>
      </c>
      <c r="K474" t="s">
        <v>37</v>
      </c>
      <c r="L474" t="s">
        <v>37</v>
      </c>
      <c r="M474" t="s">
        <v>37</v>
      </c>
      <c r="N474" t="s">
        <v>37</v>
      </c>
      <c r="O474" t="s">
        <v>37</v>
      </c>
      <c r="P474" t="s">
        <v>37</v>
      </c>
      <c r="Q474">
        <v>3</v>
      </c>
      <c r="R474">
        <v>11</v>
      </c>
      <c r="S474">
        <v>0</v>
      </c>
      <c r="T474">
        <v>105</v>
      </c>
      <c r="U474">
        <v>0</v>
      </c>
      <c r="V474" t="s">
        <v>37</v>
      </c>
      <c r="W474" t="s">
        <v>37</v>
      </c>
      <c r="X474">
        <v>9.5399999999999991</v>
      </c>
      <c r="Y474" t="s">
        <v>37</v>
      </c>
      <c r="Z474">
        <v>0</v>
      </c>
      <c r="AA474">
        <v>0</v>
      </c>
      <c r="AB474">
        <v>0</v>
      </c>
      <c r="AC474">
        <v>0</v>
      </c>
      <c r="AD474">
        <f t="shared" ca="1" si="7"/>
        <v>18</v>
      </c>
      <c r="AE474" t="e">
        <f>AVERAGE(Table1[[#This Row],[Runs Conceded]]/Table1[[#This Row],[Wickets Taken]])</f>
        <v>#DIV/0!</v>
      </c>
    </row>
    <row r="475" spans="1:31" x14ac:dyDescent="0.3">
      <c r="A475" t="s">
        <v>318</v>
      </c>
      <c r="B475" t="s">
        <v>328</v>
      </c>
      <c r="C475" t="s">
        <v>28</v>
      </c>
      <c r="D475">
        <v>7</v>
      </c>
      <c r="E475">
        <v>1</v>
      </c>
      <c r="F475">
        <v>1</v>
      </c>
      <c r="G475">
        <v>7</v>
      </c>
      <c r="H475" t="s">
        <v>57</v>
      </c>
      <c r="I475" t="s">
        <v>37</v>
      </c>
      <c r="J475">
        <v>19</v>
      </c>
      <c r="K475">
        <v>36.840000000000003</v>
      </c>
      <c r="L475">
        <v>0</v>
      </c>
      <c r="M475">
        <v>0</v>
      </c>
      <c r="N475">
        <v>0</v>
      </c>
      <c r="O475">
        <v>1</v>
      </c>
      <c r="P475">
        <v>0</v>
      </c>
      <c r="Q475">
        <v>7</v>
      </c>
      <c r="R475">
        <v>16</v>
      </c>
      <c r="S475">
        <v>0</v>
      </c>
      <c r="T475">
        <v>143</v>
      </c>
      <c r="U475">
        <v>5</v>
      </c>
      <c r="V475" s="2">
        <v>44167</v>
      </c>
      <c r="W475">
        <v>28.6</v>
      </c>
      <c r="X475">
        <v>8.93</v>
      </c>
      <c r="Y475">
        <v>19.2</v>
      </c>
      <c r="Z475">
        <v>0</v>
      </c>
      <c r="AA475">
        <v>0</v>
      </c>
      <c r="AB475">
        <v>1</v>
      </c>
      <c r="AC475">
        <v>0</v>
      </c>
      <c r="AD475">
        <f t="shared" ca="1" si="7"/>
        <v>5</v>
      </c>
      <c r="AE475">
        <f>AVERAGE(Table1[[#This Row],[Runs Conceded]]/Table1[[#This Row],[Wickets Taken]])</f>
        <v>28.6</v>
      </c>
    </row>
    <row r="476" spans="1:31" x14ac:dyDescent="0.3">
      <c r="A476" t="s">
        <v>318</v>
      </c>
      <c r="B476" t="s">
        <v>329</v>
      </c>
      <c r="C476" t="s">
        <v>28</v>
      </c>
      <c r="D476">
        <v>6</v>
      </c>
      <c r="E476">
        <v>1</v>
      </c>
      <c r="F476">
        <v>1</v>
      </c>
      <c r="G476">
        <v>1</v>
      </c>
      <c r="H476" t="s">
        <v>55</v>
      </c>
      <c r="I476" t="s">
        <v>37</v>
      </c>
      <c r="J476">
        <v>2</v>
      </c>
      <c r="K476">
        <v>50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6</v>
      </c>
      <c r="R476">
        <v>20</v>
      </c>
      <c r="S476">
        <v>0</v>
      </c>
      <c r="T476">
        <v>178</v>
      </c>
      <c r="U476">
        <v>2</v>
      </c>
      <c r="V476" s="1">
        <v>41275</v>
      </c>
      <c r="W476">
        <v>89</v>
      </c>
      <c r="X476">
        <v>8.9</v>
      </c>
      <c r="Y476">
        <v>60</v>
      </c>
      <c r="Z476">
        <v>0</v>
      </c>
      <c r="AA476">
        <v>0</v>
      </c>
      <c r="AB476">
        <v>4</v>
      </c>
      <c r="AC476">
        <v>0</v>
      </c>
      <c r="AD476">
        <f t="shared" ca="1" si="7"/>
        <v>4</v>
      </c>
      <c r="AE476">
        <f>AVERAGE(Table1[[#This Row],[Runs Conceded]]/Table1[[#This Row],[Wickets Taken]])</f>
        <v>89</v>
      </c>
    </row>
    <row r="477" spans="1:31" x14ac:dyDescent="0.3">
      <c r="A477" t="s">
        <v>318</v>
      </c>
      <c r="B477" t="s">
        <v>329</v>
      </c>
      <c r="C477" t="s">
        <v>30</v>
      </c>
      <c r="D477">
        <v>2</v>
      </c>
      <c r="E477" t="s">
        <v>37</v>
      </c>
      <c r="F477" t="s">
        <v>37</v>
      </c>
      <c r="G477" t="s">
        <v>37</v>
      </c>
      <c r="H477" t="s">
        <v>37</v>
      </c>
      <c r="I477" t="s">
        <v>37</v>
      </c>
      <c r="J477" t="s">
        <v>37</v>
      </c>
      <c r="K477" t="s">
        <v>37</v>
      </c>
      <c r="L477" t="s">
        <v>37</v>
      </c>
      <c r="M477" t="s">
        <v>37</v>
      </c>
      <c r="N477" t="s">
        <v>37</v>
      </c>
      <c r="O477" t="s">
        <v>37</v>
      </c>
      <c r="P477" t="s">
        <v>37</v>
      </c>
      <c r="Q477">
        <v>2</v>
      </c>
      <c r="R477">
        <v>5</v>
      </c>
      <c r="S477">
        <v>0</v>
      </c>
      <c r="T477">
        <v>52</v>
      </c>
      <c r="U477">
        <v>0</v>
      </c>
      <c r="V477" t="s">
        <v>37</v>
      </c>
      <c r="W477" t="s">
        <v>37</v>
      </c>
      <c r="X477">
        <v>10.4</v>
      </c>
      <c r="Y477" t="s">
        <v>37</v>
      </c>
      <c r="Z477">
        <v>0</v>
      </c>
      <c r="AA477">
        <v>0</v>
      </c>
      <c r="AB477">
        <v>0</v>
      </c>
      <c r="AC477">
        <v>0</v>
      </c>
      <c r="AD477">
        <f t="shared" ca="1" si="7"/>
        <v>14</v>
      </c>
      <c r="AE477" t="e">
        <f>AVERAGE(Table1[[#This Row],[Runs Conceded]]/Table1[[#This Row],[Wickets Taken]])</f>
        <v>#DIV/0!</v>
      </c>
    </row>
    <row r="478" spans="1:31" x14ac:dyDescent="0.3">
      <c r="A478" t="s">
        <v>318</v>
      </c>
      <c r="B478" t="s">
        <v>330</v>
      </c>
      <c r="C478" t="s">
        <v>28</v>
      </c>
      <c r="D478">
        <v>1</v>
      </c>
      <c r="E478" t="s">
        <v>37</v>
      </c>
      <c r="F478" t="s">
        <v>37</v>
      </c>
      <c r="G478" t="s">
        <v>37</v>
      </c>
      <c r="H478" t="s">
        <v>37</v>
      </c>
      <c r="I478" t="s">
        <v>37</v>
      </c>
      <c r="J478" t="s">
        <v>37</v>
      </c>
      <c r="K478" t="s">
        <v>37</v>
      </c>
      <c r="L478" t="s">
        <v>37</v>
      </c>
      <c r="M478" t="s">
        <v>37</v>
      </c>
      <c r="N478" t="s">
        <v>37</v>
      </c>
      <c r="O478" t="s">
        <v>37</v>
      </c>
      <c r="P478" t="s">
        <v>37</v>
      </c>
      <c r="Q478">
        <v>1</v>
      </c>
      <c r="R478">
        <v>2</v>
      </c>
      <c r="S478">
        <v>0</v>
      </c>
      <c r="T478">
        <v>21</v>
      </c>
      <c r="U478">
        <v>0</v>
      </c>
      <c r="V478" t="s">
        <v>37</v>
      </c>
      <c r="W478" t="s">
        <v>37</v>
      </c>
      <c r="X478">
        <v>10.5</v>
      </c>
      <c r="Y478" t="s">
        <v>37</v>
      </c>
      <c r="Z478">
        <v>0</v>
      </c>
      <c r="AA478">
        <v>0</v>
      </c>
      <c r="AB478">
        <v>0</v>
      </c>
      <c r="AC478">
        <v>0</v>
      </c>
      <c r="AD478">
        <f t="shared" ca="1" si="7"/>
        <v>9</v>
      </c>
      <c r="AE478" t="e">
        <f>AVERAGE(Table1[[#This Row],[Runs Conceded]]/Table1[[#This Row],[Wickets Taken]])</f>
        <v>#DIV/0!</v>
      </c>
    </row>
    <row r="479" spans="1:31" x14ac:dyDescent="0.3">
      <c r="A479" t="s">
        <v>318</v>
      </c>
      <c r="B479" t="s">
        <v>238</v>
      </c>
      <c r="C479" t="s">
        <v>28</v>
      </c>
      <c r="D479">
        <v>2</v>
      </c>
      <c r="E479" t="s">
        <v>37</v>
      </c>
      <c r="F479" t="s">
        <v>37</v>
      </c>
      <c r="G479" t="s">
        <v>37</v>
      </c>
      <c r="H479" t="s">
        <v>37</v>
      </c>
      <c r="I479" t="s">
        <v>37</v>
      </c>
      <c r="J479" t="s">
        <v>37</v>
      </c>
      <c r="K479" t="s">
        <v>37</v>
      </c>
      <c r="L479" t="s">
        <v>37</v>
      </c>
      <c r="M479" t="s">
        <v>37</v>
      </c>
      <c r="N479" t="s">
        <v>37</v>
      </c>
      <c r="O479" t="s">
        <v>37</v>
      </c>
      <c r="P479" t="s">
        <v>37</v>
      </c>
      <c r="Q479">
        <v>2</v>
      </c>
      <c r="R479">
        <v>4</v>
      </c>
      <c r="S479">
        <v>0</v>
      </c>
      <c r="T479">
        <v>49</v>
      </c>
      <c r="U479">
        <v>0</v>
      </c>
      <c r="V479" t="s">
        <v>37</v>
      </c>
      <c r="W479" t="s">
        <v>37</v>
      </c>
      <c r="X479">
        <v>12.25</v>
      </c>
      <c r="Y479" t="s">
        <v>37</v>
      </c>
      <c r="Z479">
        <v>0</v>
      </c>
      <c r="AA479">
        <v>0</v>
      </c>
      <c r="AB479">
        <v>1</v>
      </c>
      <c r="AC479">
        <v>0</v>
      </c>
      <c r="AD479">
        <f t="shared" ca="1" si="7"/>
        <v>11</v>
      </c>
      <c r="AE479" t="e">
        <f>AVERAGE(Table1[[#This Row],[Runs Conceded]]/Table1[[#This Row],[Wickets Taken]])</f>
        <v>#DIV/0!</v>
      </c>
    </row>
    <row r="480" spans="1:31" x14ac:dyDescent="0.3">
      <c r="A480" t="s">
        <v>318</v>
      </c>
      <c r="B480" t="s">
        <v>238</v>
      </c>
      <c r="C480" t="s">
        <v>30</v>
      </c>
      <c r="D480">
        <v>5</v>
      </c>
      <c r="E480">
        <v>3</v>
      </c>
      <c r="F480">
        <v>1</v>
      </c>
      <c r="G480">
        <v>2</v>
      </c>
      <c r="H480" t="s">
        <v>55</v>
      </c>
      <c r="I480">
        <v>1</v>
      </c>
      <c r="J480">
        <v>4</v>
      </c>
      <c r="K480">
        <v>50</v>
      </c>
      <c r="L480">
        <v>0</v>
      </c>
      <c r="M480">
        <v>0</v>
      </c>
      <c r="N480">
        <v>1</v>
      </c>
      <c r="O480">
        <v>0</v>
      </c>
      <c r="P480">
        <v>0</v>
      </c>
      <c r="Q480">
        <v>5</v>
      </c>
      <c r="R480">
        <v>18</v>
      </c>
      <c r="S480">
        <v>0</v>
      </c>
      <c r="T480">
        <v>181</v>
      </c>
      <c r="U480">
        <v>5</v>
      </c>
      <c r="V480" s="1">
        <v>13912</v>
      </c>
      <c r="W480">
        <v>36.200000000000003</v>
      </c>
      <c r="X480">
        <v>10.050000000000001</v>
      </c>
      <c r="Y480">
        <v>21.6</v>
      </c>
      <c r="Z480">
        <v>0</v>
      </c>
      <c r="AA480">
        <v>0</v>
      </c>
      <c r="AB480">
        <v>0</v>
      </c>
      <c r="AC480">
        <v>0</v>
      </c>
      <c r="AD480">
        <f t="shared" ca="1" si="7"/>
        <v>6</v>
      </c>
      <c r="AE480">
        <f>AVERAGE(Table1[[#This Row],[Runs Conceded]]/Table1[[#This Row],[Wickets Taken]])</f>
        <v>36.200000000000003</v>
      </c>
    </row>
    <row r="481" spans="1:31" x14ac:dyDescent="0.3">
      <c r="A481" t="s">
        <v>318</v>
      </c>
      <c r="B481" t="s">
        <v>331</v>
      </c>
      <c r="C481" t="s">
        <v>30</v>
      </c>
      <c r="D481">
        <v>1</v>
      </c>
      <c r="E481">
        <v>1</v>
      </c>
      <c r="F481">
        <v>0</v>
      </c>
      <c r="G481">
        <v>2</v>
      </c>
      <c r="H481">
        <v>2</v>
      </c>
      <c r="I481">
        <v>2</v>
      </c>
      <c r="J481">
        <v>3</v>
      </c>
      <c r="K481">
        <v>66.66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</v>
      </c>
      <c r="R481">
        <v>2</v>
      </c>
      <c r="S481">
        <v>0</v>
      </c>
      <c r="T481">
        <v>26</v>
      </c>
      <c r="U481">
        <v>0</v>
      </c>
      <c r="V481" t="s">
        <v>37</v>
      </c>
      <c r="W481" t="s">
        <v>37</v>
      </c>
      <c r="X481">
        <v>13</v>
      </c>
      <c r="Y481" t="s">
        <v>37</v>
      </c>
      <c r="Z481">
        <v>0</v>
      </c>
      <c r="AA481">
        <v>0</v>
      </c>
      <c r="AB481">
        <v>0</v>
      </c>
      <c r="AC481">
        <v>0</v>
      </c>
      <c r="AD481">
        <f t="shared" ca="1" si="7"/>
        <v>9</v>
      </c>
      <c r="AE481" t="e">
        <f>AVERAGE(Table1[[#This Row],[Runs Conceded]]/Table1[[#This Row],[Wickets Taken]])</f>
        <v>#DIV/0!</v>
      </c>
    </row>
    <row r="482" spans="1:31" x14ac:dyDescent="0.3">
      <c r="A482" t="s">
        <v>318</v>
      </c>
      <c r="B482" t="s">
        <v>82</v>
      </c>
      <c r="C482" t="s">
        <v>30</v>
      </c>
      <c r="D482">
        <v>3</v>
      </c>
      <c r="E482">
        <v>3</v>
      </c>
      <c r="F482">
        <v>1</v>
      </c>
      <c r="G482">
        <v>59</v>
      </c>
      <c r="H482">
        <v>31</v>
      </c>
      <c r="I482">
        <v>29.5</v>
      </c>
      <c r="J482">
        <v>40</v>
      </c>
      <c r="K482">
        <v>147.5</v>
      </c>
      <c r="L482">
        <v>0</v>
      </c>
      <c r="M482">
        <v>0</v>
      </c>
      <c r="N482">
        <v>0</v>
      </c>
      <c r="O482">
        <v>9</v>
      </c>
      <c r="P482">
        <v>1</v>
      </c>
      <c r="Q482" t="s">
        <v>37</v>
      </c>
      <c r="R482" t="s">
        <v>37</v>
      </c>
      <c r="S482" t="s">
        <v>37</v>
      </c>
      <c r="T482" t="s">
        <v>37</v>
      </c>
      <c r="U482" t="s">
        <v>37</v>
      </c>
      <c r="V482" t="s">
        <v>37</v>
      </c>
      <c r="W482" t="s">
        <v>37</v>
      </c>
      <c r="X482" t="s">
        <v>37</v>
      </c>
      <c r="Y482" t="s">
        <v>37</v>
      </c>
      <c r="Z482" t="s">
        <v>37</v>
      </c>
      <c r="AA482" t="s">
        <v>37</v>
      </c>
      <c r="AB482">
        <v>1</v>
      </c>
      <c r="AC482">
        <v>0</v>
      </c>
      <c r="AD482">
        <f t="shared" ca="1" si="7"/>
        <v>5</v>
      </c>
      <c r="AE482" t="e">
        <f>AVERAGE(Table1[[#This Row],[Runs Conceded]]/Table1[[#This Row],[Wickets Taken]])</f>
        <v>#VALUE!</v>
      </c>
    </row>
    <row r="483" spans="1:31" x14ac:dyDescent="0.3">
      <c r="A483" t="s">
        <v>318</v>
      </c>
      <c r="B483" t="s">
        <v>147</v>
      </c>
      <c r="C483" t="s">
        <v>30</v>
      </c>
      <c r="D483">
        <v>6</v>
      </c>
      <c r="E483">
        <v>3</v>
      </c>
      <c r="F483">
        <v>1</v>
      </c>
      <c r="G483">
        <v>53</v>
      </c>
      <c r="H483">
        <v>25</v>
      </c>
      <c r="I483">
        <v>26.5</v>
      </c>
      <c r="J483">
        <v>30</v>
      </c>
      <c r="K483">
        <v>176.66</v>
      </c>
      <c r="L483">
        <v>0</v>
      </c>
      <c r="M483">
        <v>0</v>
      </c>
      <c r="N483">
        <v>0</v>
      </c>
      <c r="O483">
        <v>4</v>
      </c>
      <c r="P483">
        <v>3</v>
      </c>
      <c r="Q483">
        <v>6</v>
      </c>
      <c r="R483">
        <v>21</v>
      </c>
      <c r="S483">
        <v>0</v>
      </c>
      <c r="T483">
        <v>141</v>
      </c>
      <c r="U483">
        <v>12</v>
      </c>
      <c r="V483" s="1">
        <v>42856</v>
      </c>
      <c r="W483">
        <v>11.75</v>
      </c>
      <c r="X483">
        <v>6.71</v>
      </c>
      <c r="Y483">
        <v>10.5</v>
      </c>
      <c r="Z483">
        <v>0</v>
      </c>
      <c r="AA483">
        <v>1</v>
      </c>
      <c r="AB483">
        <v>0</v>
      </c>
      <c r="AC483">
        <v>0</v>
      </c>
      <c r="AD483">
        <f t="shared" ca="1" si="7"/>
        <v>14</v>
      </c>
      <c r="AE483">
        <f>AVERAGE(Table1[[#This Row],[Runs Conceded]]/Table1[[#This Row],[Wickets Taken]])</f>
        <v>11.75</v>
      </c>
    </row>
    <row r="484" spans="1:31" x14ac:dyDescent="0.3">
      <c r="A484" t="s">
        <v>318</v>
      </c>
      <c r="B484" t="s">
        <v>332</v>
      </c>
      <c r="C484" t="s">
        <v>30</v>
      </c>
      <c r="D484">
        <v>7</v>
      </c>
      <c r="E484">
        <v>3</v>
      </c>
      <c r="F484">
        <v>1</v>
      </c>
      <c r="G484">
        <v>7</v>
      </c>
      <c r="H484" t="s">
        <v>57</v>
      </c>
      <c r="I484">
        <v>3.5</v>
      </c>
      <c r="J484">
        <v>9</v>
      </c>
      <c r="K484">
        <v>77.77</v>
      </c>
      <c r="L484">
        <v>0</v>
      </c>
      <c r="M484">
        <v>0</v>
      </c>
      <c r="N484">
        <v>2</v>
      </c>
      <c r="O484">
        <v>0</v>
      </c>
      <c r="P484">
        <v>1</v>
      </c>
      <c r="Q484">
        <v>6</v>
      </c>
      <c r="R484">
        <v>18.100000000000001</v>
      </c>
      <c r="S484">
        <v>0</v>
      </c>
      <c r="T484">
        <v>144</v>
      </c>
      <c r="U484">
        <v>2</v>
      </c>
      <c r="V484" s="1">
        <v>42370</v>
      </c>
      <c r="W484">
        <v>72</v>
      </c>
      <c r="X484">
        <v>7.92</v>
      </c>
      <c r="Y484">
        <v>54.5</v>
      </c>
      <c r="Z484">
        <v>0</v>
      </c>
      <c r="AA484">
        <v>0</v>
      </c>
      <c r="AB484">
        <v>1</v>
      </c>
      <c r="AC484">
        <v>0</v>
      </c>
      <c r="AD484">
        <f t="shared" ca="1" si="7"/>
        <v>9</v>
      </c>
      <c r="AE484">
        <f>AVERAGE(Table1[[#This Row],[Runs Conceded]]/Table1[[#This Row],[Wickets Taken]])</f>
        <v>72</v>
      </c>
    </row>
    <row r="485" spans="1:31" x14ac:dyDescent="0.3">
      <c r="A485" t="s">
        <v>318</v>
      </c>
      <c r="B485" t="s">
        <v>333</v>
      </c>
      <c r="C485" t="s">
        <v>30</v>
      </c>
      <c r="D485">
        <v>2</v>
      </c>
      <c r="E485">
        <v>1</v>
      </c>
      <c r="F485">
        <v>0</v>
      </c>
      <c r="G485">
        <v>0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1</v>
      </c>
      <c r="O485">
        <v>0</v>
      </c>
      <c r="P485">
        <v>0</v>
      </c>
      <c r="Q485">
        <v>2</v>
      </c>
      <c r="R485">
        <v>7</v>
      </c>
      <c r="S485">
        <v>0</v>
      </c>
      <c r="T485">
        <v>57</v>
      </c>
      <c r="U485">
        <v>1</v>
      </c>
      <c r="V485" s="1">
        <v>12785</v>
      </c>
      <c r="W485">
        <v>57</v>
      </c>
      <c r="X485">
        <v>8.14</v>
      </c>
      <c r="Y485">
        <v>42</v>
      </c>
      <c r="Z485">
        <v>0</v>
      </c>
      <c r="AA485">
        <v>0</v>
      </c>
      <c r="AB485">
        <v>0</v>
      </c>
      <c r="AC485">
        <v>0</v>
      </c>
      <c r="AD485">
        <f t="shared" ca="1" si="7"/>
        <v>12</v>
      </c>
      <c r="AE485">
        <f>AVERAGE(Table1[[#This Row],[Runs Conceded]]/Table1[[#This Row],[Wickets Taken]])</f>
        <v>57</v>
      </c>
    </row>
    <row r="486" spans="1:31" x14ac:dyDescent="0.3">
      <c r="A486" t="s">
        <v>318</v>
      </c>
      <c r="B486" t="s">
        <v>312</v>
      </c>
      <c r="C486" t="s">
        <v>30</v>
      </c>
      <c r="D486">
        <v>12</v>
      </c>
      <c r="E486">
        <v>5</v>
      </c>
      <c r="F486">
        <v>5</v>
      </c>
      <c r="G486">
        <v>28</v>
      </c>
      <c r="H486" t="s">
        <v>54</v>
      </c>
      <c r="I486" t="s">
        <v>37</v>
      </c>
      <c r="J486">
        <v>28</v>
      </c>
      <c r="K486">
        <v>100</v>
      </c>
      <c r="L486">
        <v>0</v>
      </c>
      <c r="M486">
        <v>0</v>
      </c>
      <c r="N486">
        <v>0</v>
      </c>
      <c r="O486">
        <v>1</v>
      </c>
      <c r="P486">
        <v>1</v>
      </c>
      <c r="Q486">
        <v>12</v>
      </c>
      <c r="R486">
        <v>44.4</v>
      </c>
      <c r="S486">
        <v>0</v>
      </c>
      <c r="T486">
        <v>424</v>
      </c>
      <c r="U486">
        <v>11</v>
      </c>
      <c r="V486" s="1">
        <v>47178</v>
      </c>
      <c r="W486">
        <v>38.54</v>
      </c>
      <c r="X486">
        <v>9.49</v>
      </c>
      <c r="Y486">
        <v>24.3</v>
      </c>
      <c r="Z486">
        <v>0</v>
      </c>
      <c r="AA486">
        <v>0</v>
      </c>
      <c r="AB486">
        <v>2</v>
      </c>
      <c r="AC486">
        <v>0</v>
      </c>
      <c r="AD486">
        <f t="shared" ca="1" si="7"/>
        <v>3</v>
      </c>
      <c r="AE486">
        <f>AVERAGE(Table1[[#This Row],[Runs Conceded]]/Table1[[#This Row],[Wickets Taken]])</f>
        <v>38.545454545454547</v>
      </c>
    </row>
    <row r="487" spans="1:31" x14ac:dyDescent="0.3">
      <c r="A487" t="s">
        <v>318</v>
      </c>
      <c r="B487" t="s">
        <v>334</v>
      </c>
      <c r="C487" t="s">
        <v>30</v>
      </c>
      <c r="D487">
        <v>1</v>
      </c>
      <c r="E487" t="s">
        <v>37</v>
      </c>
      <c r="F487" t="s">
        <v>37</v>
      </c>
      <c r="G487" t="s">
        <v>37</v>
      </c>
      <c r="H487" t="s">
        <v>37</v>
      </c>
      <c r="I487" t="s">
        <v>37</v>
      </c>
      <c r="J487" t="s">
        <v>37</v>
      </c>
      <c r="K487" t="s">
        <v>37</v>
      </c>
      <c r="L487" t="s">
        <v>37</v>
      </c>
      <c r="M487" t="s">
        <v>37</v>
      </c>
      <c r="N487" t="s">
        <v>37</v>
      </c>
      <c r="O487" t="s">
        <v>37</v>
      </c>
      <c r="P487" t="s">
        <v>37</v>
      </c>
      <c r="Q487">
        <v>1</v>
      </c>
      <c r="R487">
        <v>4</v>
      </c>
      <c r="S487">
        <v>0</v>
      </c>
      <c r="T487">
        <v>42</v>
      </c>
      <c r="U487">
        <v>1</v>
      </c>
      <c r="V487" s="1">
        <v>15342</v>
      </c>
      <c r="W487">
        <v>42</v>
      </c>
      <c r="X487">
        <v>10.5</v>
      </c>
      <c r="Y487">
        <v>24</v>
      </c>
      <c r="Z487">
        <v>0</v>
      </c>
      <c r="AA487">
        <v>0</v>
      </c>
      <c r="AB487">
        <v>1</v>
      </c>
      <c r="AC487">
        <v>0</v>
      </c>
      <c r="AD487">
        <f t="shared" ca="1" si="7"/>
        <v>17</v>
      </c>
      <c r="AE487">
        <f>AVERAGE(Table1[[#This Row],[Runs Conceded]]/Table1[[#This Row],[Wickets Taken]])</f>
        <v>42</v>
      </c>
    </row>
    <row r="488" spans="1:31" x14ac:dyDescent="0.3">
      <c r="A488" t="s">
        <v>318</v>
      </c>
      <c r="B488" t="s">
        <v>335</v>
      </c>
      <c r="C488" t="s">
        <v>30</v>
      </c>
      <c r="D488">
        <v>1</v>
      </c>
      <c r="E488" t="s">
        <v>37</v>
      </c>
      <c r="F488" t="s">
        <v>37</v>
      </c>
      <c r="G488" t="s">
        <v>37</v>
      </c>
      <c r="H488" t="s">
        <v>37</v>
      </c>
      <c r="I488" t="s">
        <v>37</v>
      </c>
      <c r="J488" t="s">
        <v>37</v>
      </c>
      <c r="K488" t="s">
        <v>37</v>
      </c>
      <c r="L488" t="s">
        <v>37</v>
      </c>
      <c r="M488" t="s">
        <v>37</v>
      </c>
      <c r="N488" t="s">
        <v>37</v>
      </c>
      <c r="O488" t="s">
        <v>37</v>
      </c>
      <c r="P488" t="s">
        <v>37</v>
      </c>
      <c r="Q488">
        <v>1</v>
      </c>
      <c r="R488">
        <v>2</v>
      </c>
      <c r="S488">
        <v>0</v>
      </c>
      <c r="T488">
        <v>32</v>
      </c>
      <c r="U488">
        <v>0</v>
      </c>
      <c r="V488" t="s">
        <v>37</v>
      </c>
      <c r="W488" t="s">
        <v>37</v>
      </c>
      <c r="X488">
        <v>16</v>
      </c>
      <c r="Y488" t="s">
        <v>37</v>
      </c>
      <c r="Z488">
        <v>0</v>
      </c>
      <c r="AA488">
        <v>0</v>
      </c>
      <c r="AB488">
        <v>0</v>
      </c>
      <c r="AC488">
        <v>0</v>
      </c>
      <c r="AD488">
        <f t="shared" ca="1" si="7"/>
        <v>5</v>
      </c>
      <c r="AE488" t="e">
        <f>AVERAGE(Table1[[#This Row],[Runs Conceded]]/Table1[[#This Row],[Wickets Taken]])</f>
        <v>#DIV/0!</v>
      </c>
    </row>
    <row r="489" spans="1:31" x14ac:dyDescent="0.3">
      <c r="A489" t="s">
        <v>318</v>
      </c>
      <c r="B489" t="s">
        <v>336</v>
      </c>
      <c r="C489" t="s">
        <v>30</v>
      </c>
      <c r="D489">
        <v>2</v>
      </c>
      <c r="E489" t="s">
        <v>37</v>
      </c>
      <c r="F489" t="s">
        <v>37</v>
      </c>
      <c r="G489" t="s">
        <v>37</v>
      </c>
      <c r="H489" t="s">
        <v>37</v>
      </c>
      <c r="I489" t="s">
        <v>37</v>
      </c>
      <c r="J489" t="s">
        <v>37</v>
      </c>
      <c r="K489" t="s">
        <v>37</v>
      </c>
      <c r="L489" t="s">
        <v>37</v>
      </c>
      <c r="M489" t="s">
        <v>37</v>
      </c>
      <c r="N489" t="s">
        <v>37</v>
      </c>
      <c r="O489" t="s">
        <v>37</v>
      </c>
      <c r="P489" t="s">
        <v>37</v>
      </c>
      <c r="Q489">
        <v>2</v>
      </c>
      <c r="R489">
        <v>4</v>
      </c>
      <c r="S489">
        <v>0</v>
      </c>
      <c r="T489">
        <v>15</v>
      </c>
      <c r="U489">
        <v>1</v>
      </c>
      <c r="V489" s="2">
        <v>44013</v>
      </c>
      <c r="W489">
        <v>15</v>
      </c>
      <c r="X489">
        <v>3.75</v>
      </c>
      <c r="Y489">
        <v>24</v>
      </c>
      <c r="Z489">
        <v>0</v>
      </c>
      <c r="AA489">
        <v>0</v>
      </c>
      <c r="AB489">
        <v>0</v>
      </c>
      <c r="AC489">
        <v>0</v>
      </c>
      <c r="AD489">
        <f t="shared" ca="1" si="7"/>
        <v>13</v>
      </c>
      <c r="AE489">
        <f>AVERAGE(Table1[[#This Row],[Runs Conceded]]/Table1[[#This Row],[Wickets Taken]])</f>
        <v>15</v>
      </c>
    </row>
    <row r="490" spans="1:31" x14ac:dyDescent="0.3">
      <c r="A490" t="s">
        <v>318</v>
      </c>
      <c r="B490" t="s">
        <v>337</v>
      </c>
      <c r="C490" t="s">
        <v>30</v>
      </c>
      <c r="D490">
        <v>1</v>
      </c>
      <c r="E490" t="s">
        <v>37</v>
      </c>
      <c r="F490" t="s">
        <v>37</v>
      </c>
      <c r="G490" t="s">
        <v>37</v>
      </c>
      <c r="H490" t="s">
        <v>37</v>
      </c>
      <c r="I490" t="s">
        <v>37</v>
      </c>
      <c r="J490" t="s">
        <v>37</v>
      </c>
      <c r="K490" t="s">
        <v>37</v>
      </c>
      <c r="L490" t="s">
        <v>37</v>
      </c>
      <c r="M490" t="s">
        <v>37</v>
      </c>
      <c r="N490" t="s">
        <v>37</v>
      </c>
      <c r="O490" t="s">
        <v>37</v>
      </c>
      <c r="P490" t="s">
        <v>37</v>
      </c>
      <c r="Q490">
        <v>1</v>
      </c>
      <c r="R490">
        <v>3.3</v>
      </c>
      <c r="S490">
        <v>0</v>
      </c>
      <c r="T490">
        <v>33</v>
      </c>
      <c r="U490">
        <v>0</v>
      </c>
      <c r="V490" t="s">
        <v>37</v>
      </c>
      <c r="W490" t="s">
        <v>37</v>
      </c>
      <c r="X490">
        <v>9.42</v>
      </c>
      <c r="Y490" t="s">
        <v>37</v>
      </c>
      <c r="Z490">
        <v>0</v>
      </c>
      <c r="AA490">
        <v>0</v>
      </c>
      <c r="AB490">
        <v>0</v>
      </c>
      <c r="AC490">
        <v>0</v>
      </c>
      <c r="AD490">
        <f t="shared" ca="1" si="7"/>
        <v>10</v>
      </c>
      <c r="AE490" t="e">
        <f>AVERAGE(Table1[[#This Row],[Runs Conceded]]/Table1[[#This Row],[Wickets Taken]])</f>
        <v>#DIV/0!</v>
      </c>
    </row>
    <row r="491" spans="1:31" x14ac:dyDescent="0.3">
      <c r="A491" t="s">
        <v>338</v>
      </c>
      <c r="B491" t="s">
        <v>339</v>
      </c>
      <c r="C491" t="s">
        <v>28</v>
      </c>
      <c r="D491">
        <v>8</v>
      </c>
      <c r="E491">
        <v>7</v>
      </c>
      <c r="F491">
        <v>1</v>
      </c>
      <c r="G491">
        <v>270</v>
      </c>
      <c r="H491">
        <v>101</v>
      </c>
      <c r="I491">
        <v>45</v>
      </c>
      <c r="J491">
        <v>176</v>
      </c>
      <c r="K491">
        <v>153.4</v>
      </c>
      <c r="L491">
        <v>1</v>
      </c>
      <c r="M491">
        <v>0</v>
      </c>
      <c r="N491">
        <v>0</v>
      </c>
      <c r="O491">
        <v>27</v>
      </c>
      <c r="P491">
        <v>8</v>
      </c>
      <c r="Q491" t="s">
        <v>37</v>
      </c>
      <c r="R491" t="s">
        <v>37</v>
      </c>
      <c r="S491" t="s">
        <v>37</v>
      </c>
      <c r="T491" t="s">
        <v>37</v>
      </c>
      <c r="U491" t="s">
        <v>37</v>
      </c>
      <c r="V491" t="s">
        <v>37</v>
      </c>
      <c r="W491" t="s">
        <v>37</v>
      </c>
      <c r="X491" t="s">
        <v>37</v>
      </c>
      <c r="Y491" t="s">
        <v>37</v>
      </c>
      <c r="Z491" t="s">
        <v>37</v>
      </c>
      <c r="AA491" t="s">
        <v>37</v>
      </c>
      <c r="AB491">
        <v>2</v>
      </c>
      <c r="AC491">
        <v>0</v>
      </c>
      <c r="AD491">
        <f t="shared" ca="1" si="7"/>
        <v>16</v>
      </c>
      <c r="AE491" t="e">
        <f>AVERAGE(Table1[[#This Row],[Runs Conceded]]/Table1[[#This Row],[Wickets Taken]])</f>
        <v>#VALUE!</v>
      </c>
    </row>
    <row r="492" spans="1:31" x14ac:dyDescent="0.3">
      <c r="A492" t="s">
        <v>338</v>
      </c>
      <c r="B492" t="s">
        <v>340</v>
      </c>
      <c r="C492" t="s">
        <v>28</v>
      </c>
      <c r="D492">
        <v>14</v>
      </c>
      <c r="E492">
        <v>14</v>
      </c>
      <c r="F492">
        <v>3</v>
      </c>
      <c r="G492">
        <v>480</v>
      </c>
      <c r="H492">
        <v>74</v>
      </c>
      <c r="I492">
        <v>43.63</v>
      </c>
      <c r="J492">
        <v>379</v>
      </c>
      <c r="K492">
        <v>126.64</v>
      </c>
      <c r="L492">
        <v>0</v>
      </c>
      <c r="M492">
        <v>6</v>
      </c>
      <c r="N492">
        <v>2</v>
      </c>
      <c r="O492">
        <v>54</v>
      </c>
      <c r="P492">
        <v>9</v>
      </c>
      <c r="Q492" t="s">
        <v>37</v>
      </c>
      <c r="R492" t="s">
        <v>37</v>
      </c>
      <c r="S492" t="s">
        <v>37</v>
      </c>
      <c r="T492" t="s">
        <v>37</v>
      </c>
      <c r="U492" t="s">
        <v>37</v>
      </c>
      <c r="V492" t="s">
        <v>37</v>
      </c>
      <c r="W492" t="s">
        <v>37</v>
      </c>
      <c r="X492" t="s">
        <v>37</v>
      </c>
      <c r="Y492" t="s">
        <v>37</v>
      </c>
      <c r="Z492" t="s">
        <v>37</v>
      </c>
      <c r="AA492" t="s">
        <v>37</v>
      </c>
      <c r="AB492">
        <v>7</v>
      </c>
      <c r="AC492">
        <v>0</v>
      </c>
      <c r="AD492">
        <f t="shared" ca="1" si="7"/>
        <v>4</v>
      </c>
      <c r="AE492" t="e">
        <f>AVERAGE(Table1[[#This Row],[Runs Conceded]]/Table1[[#This Row],[Wickets Taken]])</f>
        <v>#VALUE!</v>
      </c>
    </row>
    <row r="493" spans="1:31" x14ac:dyDescent="0.3">
      <c r="A493" t="s">
        <v>338</v>
      </c>
      <c r="B493" t="s">
        <v>341</v>
      </c>
      <c r="C493" t="s">
        <v>28</v>
      </c>
      <c r="D493">
        <v>14</v>
      </c>
      <c r="E493">
        <v>12</v>
      </c>
      <c r="F493">
        <v>5</v>
      </c>
      <c r="G493">
        <v>284</v>
      </c>
      <c r="H493" t="s">
        <v>342</v>
      </c>
      <c r="I493">
        <v>40.57</v>
      </c>
      <c r="J493">
        <v>210</v>
      </c>
      <c r="K493">
        <v>135.22999999999999</v>
      </c>
      <c r="L493">
        <v>0</v>
      </c>
      <c r="M493">
        <v>1</v>
      </c>
      <c r="N493">
        <v>0</v>
      </c>
      <c r="O493">
        <v>18</v>
      </c>
      <c r="P493">
        <v>14</v>
      </c>
      <c r="Q493" t="s">
        <v>37</v>
      </c>
      <c r="R493" t="s">
        <v>37</v>
      </c>
      <c r="S493" t="s">
        <v>37</v>
      </c>
      <c r="T493" t="s">
        <v>37</v>
      </c>
      <c r="U493" t="s">
        <v>37</v>
      </c>
      <c r="V493" t="s">
        <v>37</v>
      </c>
      <c r="W493" t="s">
        <v>37</v>
      </c>
      <c r="X493" t="s">
        <v>37</v>
      </c>
      <c r="Y493" t="s">
        <v>37</v>
      </c>
      <c r="Z493" t="s">
        <v>37</v>
      </c>
      <c r="AA493" t="s">
        <v>37</v>
      </c>
      <c r="AB493">
        <v>8</v>
      </c>
      <c r="AC493">
        <v>4</v>
      </c>
      <c r="AD493">
        <f t="shared" ca="1" si="7"/>
        <v>6</v>
      </c>
      <c r="AE493" t="e">
        <f>AVERAGE(Table1[[#This Row],[Runs Conceded]]/Table1[[#This Row],[Wickets Taken]])</f>
        <v>#VALUE!</v>
      </c>
    </row>
    <row r="494" spans="1:31" x14ac:dyDescent="0.3">
      <c r="A494" t="s">
        <v>338</v>
      </c>
      <c r="B494" t="s">
        <v>343</v>
      </c>
      <c r="C494" t="s">
        <v>28</v>
      </c>
      <c r="D494">
        <v>4</v>
      </c>
      <c r="E494">
        <v>4</v>
      </c>
      <c r="F494">
        <v>2</v>
      </c>
      <c r="G494">
        <v>73</v>
      </c>
      <c r="H494">
        <v>37</v>
      </c>
      <c r="I494">
        <v>36.5</v>
      </c>
      <c r="J494">
        <v>61</v>
      </c>
      <c r="K494">
        <v>119.67</v>
      </c>
      <c r="L494">
        <v>0</v>
      </c>
      <c r="M494">
        <v>0</v>
      </c>
      <c r="N494">
        <v>0</v>
      </c>
      <c r="O494">
        <v>4</v>
      </c>
      <c r="P494">
        <v>3</v>
      </c>
      <c r="Q494" t="s">
        <v>37</v>
      </c>
      <c r="R494" t="s">
        <v>37</v>
      </c>
      <c r="S494" t="s">
        <v>37</v>
      </c>
      <c r="T494" t="s">
        <v>37</v>
      </c>
      <c r="U494" t="s">
        <v>37</v>
      </c>
      <c r="V494" t="s">
        <v>37</v>
      </c>
      <c r="W494" t="s">
        <v>37</v>
      </c>
      <c r="X494" t="s">
        <v>37</v>
      </c>
      <c r="Y494" t="s">
        <v>37</v>
      </c>
      <c r="Z494" t="s">
        <v>37</v>
      </c>
      <c r="AA494" t="s">
        <v>37</v>
      </c>
      <c r="AB494">
        <v>1</v>
      </c>
      <c r="AC494">
        <v>0</v>
      </c>
      <c r="AD494">
        <f t="shared" ca="1" si="7"/>
        <v>13</v>
      </c>
      <c r="AE494" t="e">
        <f>AVERAGE(Table1[[#This Row],[Runs Conceded]]/Table1[[#This Row],[Wickets Taken]])</f>
        <v>#VALUE!</v>
      </c>
    </row>
    <row r="495" spans="1:31" x14ac:dyDescent="0.3">
      <c r="A495" t="s">
        <v>338</v>
      </c>
      <c r="B495" t="s">
        <v>344</v>
      </c>
      <c r="C495" t="s">
        <v>28</v>
      </c>
      <c r="D495">
        <v>6</v>
      </c>
      <c r="E495">
        <v>6</v>
      </c>
      <c r="F495">
        <v>0</v>
      </c>
      <c r="G495">
        <v>206</v>
      </c>
      <c r="H495">
        <v>69</v>
      </c>
      <c r="I495">
        <v>34.33</v>
      </c>
      <c r="J495">
        <v>162</v>
      </c>
      <c r="K495">
        <v>127.16</v>
      </c>
      <c r="L495">
        <v>0</v>
      </c>
      <c r="M495">
        <v>2</v>
      </c>
      <c r="N495">
        <v>0</v>
      </c>
      <c r="O495">
        <v>17</v>
      </c>
      <c r="P495">
        <v>9</v>
      </c>
      <c r="Q495" t="s">
        <v>37</v>
      </c>
      <c r="R495" t="s">
        <v>37</v>
      </c>
      <c r="S495" t="s">
        <v>37</v>
      </c>
      <c r="T495" t="s">
        <v>37</v>
      </c>
      <c r="U495" t="s">
        <v>37</v>
      </c>
      <c r="V495" t="s">
        <v>37</v>
      </c>
      <c r="W495" t="s">
        <v>37</v>
      </c>
      <c r="X495" t="s">
        <v>37</v>
      </c>
      <c r="Y495" t="s">
        <v>37</v>
      </c>
      <c r="Z495" t="s">
        <v>37</v>
      </c>
      <c r="AA495" t="s">
        <v>37</v>
      </c>
      <c r="AB495">
        <v>4</v>
      </c>
      <c r="AC495">
        <v>0</v>
      </c>
      <c r="AD495">
        <f t="shared" ca="1" si="7"/>
        <v>14</v>
      </c>
      <c r="AE495" t="e">
        <f>AVERAGE(Table1[[#This Row],[Runs Conceded]]/Table1[[#This Row],[Wickets Taken]])</f>
        <v>#VALUE!</v>
      </c>
    </row>
    <row r="496" spans="1:31" x14ac:dyDescent="0.3">
      <c r="A496" t="s">
        <v>338</v>
      </c>
      <c r="B496" t="s">
        <v>345</v>
      </c>
      <c r="C496" t="s">
        <v>28</v>
      </c>
      <c r="D496">
        <v>10</v>
      </c>
      <c r="E496">
        <v>6</v>
      </c>
      <c r="F496">
        <v>5</v>
      </c>
      <c r="G496">
        <v>34</v>
      </c>
      <c r="H496">
        <v>21</v>
      </c>
      <c r="I496">
        <v>34</v>
      </c>
      <c r="J496">
        <v>20</v>
      </c>
      <c r="K496">
        <v>170</v>
      </c>
      <c r="L496">
        <v>0</v>
      </c>
      <c r="M496">
        <v>0</v>
      </c>
      <c r="N496">
        <v>0</v>
      </c>
      <c r="O496">
        <v>1</v>
      </c>
      <c r="P496">
        <v>2</v>
      </c>
      <c r="Q496">
        <v>10</v>
      </c>
      <c r="R496">
        <v>34</v>
      </c>
      <c r="S496">
        <v>1</v>
      </c>
      <c r="T496">
        <v>244</v>
      </c>
      <c r="U496">
        <v>6</v>
      </c>
      <c r="V496" s="1">
        <v>43497</v>
      </c>
      <c r="W496">
        <v>40.659999999999997</v>
      </c>
      <c r="X496">
        <v>7.17</v>
      </c>
      <c r="Y496">
        <v>34</v>
      </c>
      <c r="Z496">
        <v>0</v>
      </c>
      <c r="AA496">
        <v>0</v>
      </c>
      <c r="AB496">
        <v>2</v>
      </c>
      <c r="AC496">
        <v>0</v>
      </c>
      <c r="AD496">
        <f t="shared" ca="1" si="7"/>
        <v>17</v>
      </c>
      <c r="AE496">
        <f>AVERAGE(Table1[[#This Row],[Runs Conceded]]/Table1[[#This Row],[Wickets Taken]])</f>
        <v>40.666666666666664</v>
      </c>
    </row>
    <row r="497" spans="1:31" x14ac:dyDescent="0.3">
      <c r="A497" t="s">
        <v>338</v>
      </c>
      <c r="B497" t="s">
        <v>239</v>
      </c>
      <c r="C497" t="s">
        <v>28</v>
      </c>
      <c r="D497">
        <v>10</v>
      </c>
      <c r="E497">
        <v>8</v>
      </c>
      <c r="F497">
        <v>1</v>
      </c>
      <c r="G497">
        <v>170</v>
      </c>
      <c r="H497">
        <v>57</v>
      </c>
      <c r="I497">
        <v>24.28</v>
      </c>
      <c r="J497">
        <v>141</v>
      </c>
      <c r="K497">
        <v>120.56</v>
      </c>
      <c r="L497">
        <v>0</v>
      </c>
      <c r="M497">
        <v>2</v>
      </c>
      <c r="N497">
        <v>0</v>
      </c>
      <c r="O497">
        <v>17</v>
      </c>
      <c r="P497">
        <v>4</v>
      </c>
      <c r="Q497" t="s">
        <v>37</v>
      </c>
      <c r="R497" t="s">
        <v>37</v>
      </c>
      <c r="S497" t="s">
        <v>37</v>
      </c>
      <c r="T497" t="s">
        <v>37</v>
      </c>
      <c r="U497" t="s">
        <v>37</v>
      </c>
      <c r="V497" t="s">
        <v>37</v>
      </c>
      <c r="W497" t="s">
        <v>37</v>
      </c>
      <c r="X497" t="s">
        <v>37</v>
      </c>
      <c r="Y497" t="s">
        <v>37</v>
      </c>
      <c r="Z497" t="s">
        <v>37</v>
      </c>
      <c r="AA497" t="s">
        <v>37</v>
      </c>
      <c r="AB497">
        <v>4</v>
      </c>
      <c r="AC497">
        <v>0</v>
      </c>
      <c r="AD497">
        <f t="shared" ca="1" si="7"/>
        <v>11</v>
      </c>
      <c r="AE497" t="e">
        <f>AVERAGE(Table1[[#This Row],[Runs Conceded]]/Table1[[#This Row],[Wickets Taken]])</f>
        <v>#VALUE!</v>
      </c>
    </row>
    <row r="498" spans="1:31" x14ac:dyDescent="0.3">
      <c r="A498" t="s">
        <v>338</v>
      </c>
      <c r="B498" t="s">
        <v>346</v>
      </c>
      <c r="C498" t="s">
        <v>28</v>
      </c>
      <c r="D498">
        <v>12</v>
      </c>
      <c r="E498">
        <v>10</v>
      </c>
      <c r="F498">
        <v>3</v>
      </c>
      <c r="G498">
        <v>150</v>
      </c>
      <c r="H498">
        <v>34</v>
      </c>
      <c r="I498">
        <v>21.42</v>
      </c>
      <c r="J498">
        <v>93</v>
      </c>
      <c r="K498">
        <v>161.29</v>
      </c>
      <c r="L498">
        <v>0</v>
      </c>
      <c r="M498">
        <v>0</v>
      </c>
      <c r="N498">
        <v>0</v>
      </c>
      <c r="O498">
        <v>7</v>
      </c>
      <c r="P498">
        <v>11</v>
      </c>
      <c r="Q498">
        <v>11</v>
      </c>
      <c r="R498">
        <v>33.1</v>
      </c>
      <c r="S498">
        <v>0</v>
      </c>
      <c r="T498">
        <v>326</v>
      </c>
      <c r="U498">
        <v>9</v>
      </c>
      <c r="V498" s="1">
        <v>12479</v>
      </c>
      <c r="W498">
        <v>36.22</v>
      </c>
      <c r="X498">
        <v>9.82</v>
      </c>
      <c r="Y498">
        <v>22.1</v>
      </c>
      <c r="Z498">
        <v>0</v>
      </c>
      <c r="AA498">
        <v>0</v>
      </c>
      <c r="AB498">
        <v>5</v>
      </c>
      <c r="AC498">
        <v>0</v>
      </c>
      <c r="AD498">
        <f t="shared" ca="1" si="7"/>
        <v>13</v>
      </c>
      <c r="AE498">
        <f>AVERAGE(Table1[[#This Row],[Runs Conceded]]/Table1[[#This Row],[Wickets Taken]])</f>
        <v>36.222222222222221</v>
      </c>
    </row>
    <row r="499" spans="1:31" x14ac:dyDescent="0.3">
      <c r="A499" t="s">
        <v>338</v>
      </c>
      <c r="B499" t="s">
        <v>347</v>
      </c>
      <c r="C499" t="s">
        <v>28</v>
      </c>
      <c r="D499">
        <v>6</v>
      </c>
      <c r="E499">
        <v>6</v>
      </c>
      <c r="F499">
        <v>0</v>
      </c>
      <c r="G499">
        <v>127</v>
      </c>
      <c r="H499">
        <v>30</v>
      </c>
      <c r="I499">
        <v>21.16</v>
      </c>
      <c r="J499">
        <v>100</v>
      </c>
      <c r="K499">
        <v>127</v>
      </c>
      <c r="L499">
        <v>0</v>
      </c>
      <c r="M499">
        <v>0</v>
      </c>
      <c r="N499">
        <v>0</v>
      </c>
      <c r="O499">
        <v>14</v>
      </c>
      <c r="P499">
        <v>3</v>
      </c>
      <c r="Q499" t="s">
        <v>37</v>
      </c>
      <c r="R499" t="s">
        <v>37</v>
      </c>
      <c r="S499" t="s">
        <v>37</v>
      </c>
      <c r="T499" t="s">
        <v>37</v>
      </c>
      <c r="U499" t="s">
        <v>37</v>
      </c>
      <c r="V499" t="s">
        <v>37</v>
      </c>
      <c r="W499" t="s">
        <v>37</v>
      </c>
      <c r="X499" t="s">
        <v>37</v>
      </c>
      <c r="Y499" t="s">
        <v>37</v>
      </c>
      <c r="Z499" t="s">
        <v>37</v>
      </c>
      <c r="AA499" t="s">
        <v>37</v>
      </c>
      <c r="AB499">
        <v>1</v>
      </c>
      <c r="AC499">
        <v>0</v>
      </c>
      <c r="AD499">
        <f t="shared" ca="1" si="7"/>
        <v>15</v>
      </c>
      <c r="AE499" t="e">
        <f>AVERAGE(Table1[[#This Row],[Runs Conceded]]/Table1[[#This Row],[Wickets Taken]])</f>
        <v>#VALUE!</v>
      </c>
    </row>
    <row r="500" spans="1:31" x14ac:dyDescent="0.3">
      <c r="A500" t="s">
        <v>338</v>
      </c>
      <c r="B500" t="s">
        <v>348</v>
      </c>
      <c r="C500" t="s">
        <v>28</v>
      </c>
      <c r="D500">
        <v>6</v>
      </c>
      <c r="E500">
        <v>5</v>
      </c>
      <c r="F500">
        <v>1</v>
      </c>
      <c r="G500">
        <v>84</v>
      </c>
      <c r="H500">
        <v>34</v>
      </c>
      <c r="I500">
        <v>21</v>
      </c>
      <c r="J500">
        <v>98</v>
      </c>
      <c r="K500">
        <v>85.71</v>
      </c>
      <c r="L500">
        <v>0</v>
      </c>
      <c r="M500">
        <v>0</v>
      </c>
      <c r="N500">
        <v>1</v>
      </c>
      <c r="O500">
        <v>9</v>
      </c>
      <c r="P500">
        <v>2</v>
      </c>
      <c r="Q500" t="s">
        <v>37</v>
      </c>
      <c r="R500" t="s">
        <v>37</v>
      </c>
      <c r="S500" t="s">
        <v>37</v>
      </c>
      <c r="T500" t="s">
        <v>37</v>
      </c>
      <c r="U500" t="s">
        <v>37</v>
      </c>
      <c r="V500" t="s">
        <v>37</v>
      </c>
      <c r="W500" t="s">
        <v>37</v>
      </c>
      <c r="X500" t="s">
        <v>37</v>
      </c>
      <c r="Y500" t="s">
        <v>37</v>
      </c>
      <c r="Z500" t="s">
        <v>37</v>
      </c>
      <c r="AA500" t="s">
        <v>37</v>
      </c>
      <c r="AB500">
        <v>2</v>
      </c>
      <c r="AC500">
        <v>0</v>
      </c>
      <c r="AD500">
        <f t="shared" ca="1" si="7"/>
        <v>6</v>
      </c>
      <c r="AE500" t="e">
        <f>AVERAGE(Table1[[#This Row],[Runs Conceded]]/Table1[[#This Row],[Wickets Taken]])</f>
        <v>#VALUE!</v>
      </c>
    </row>
    <row r="501" spans="1:31" x14ac:dyDescent="0.3">
      <c r="A501" t="s">
        <v>338</v>
      </c>
      <c r="B501" t="s">
        <v>140</v>
      </c>
      <c r="C501" t="s">
        <v>28</v>
      </c>
      <c r="D501">
        <v>14</v>
      </c>
      <c r="E501">
        <v>6</v>
      </c>
      <c r="F501">
        <v>4</v>
      </c>
      <c r="G501">
        <v>41</v>
      </c>
      <c r="H501">
        <v>29</v>
      </c>
      <c r="I501">
        <v>20.5</v>
      </c>
      <c r="J501">
        <v>38</v>
      </c>
      <c r="K501">
        <v>107.89</v>
      </c>
      <c r="L501">
        <v>0</v>
      </c>
      <c r="M501">
        <v>0</v>
      </c>
      <c r="N501">
        <v>1</v>
      </c>
      <c r="O501">
        <v>3</v>
      </c>
      <c r="P501">
        <v>1</v>
      </c>
      <c r="Q501">
        <v>14</v>
      </c>
      <c r="R501">
        <v>44</v>
      </c>
      <c r="S501">
        <v>0</v>
      </c>
      <c r="T501">
        <v>319</v>
      </c>
      <c r="U501">
        <v>10</v>
      </c>
      <c r="V501" s="1">
        <v>12510</v>
      </c>
      <c r="W501">
        <v>31.9</v>
      </c>
      <c r="X501">
        <v>7.25</v>
      </c>
      <c r="Y501">
        <v>26.4</v>
      </c>
      <c r="Z501">
        <v>1</v>
      </c>
      <c r="AA501">
        <v>0</v>
      </c>
      <c r="AB501">
        <v>3</v>
      </c>
      <c r="AC501">
        <v>0</v>
      </c>
      <c r="AD501">
        <f t="shared" ca="1" si="7"/>
        <v>8</v>
      </c>
      <c r="AE501">
        <f>AVERAGE(Table1[[#This Row],[Runs Conceded]]/Table1[[#This Row],[Wickets Taken]])</f>
        <v>31.9</v>
      </c>
    </row>
    <row r="502" spans="1:31" x14ac:dyDescent="0.3">
      <c r="A502" t="s">
        <v>338</v>
      </c>
      <c r="B502" t="s">
        <v>349</v>
      </c>
      <c r="C502" t="s">
        <v>28</v>
      </c>
      <c r="D502">
        <v>2</v>
      </c>
      <c r="E502">
        <v>1</v>
      </c>
      <c r="F502">
        <v>0</v>
      </c>
      <c r="G502">
        <v>16</v>
      </c>
      <c r="H502">
        <v>16</v>
      </c>
      <c r="I502">
        <v>16</v>
      </c>
      <c r="J502">
        <v>9</v>
      </c>
      <c r="K502">
        <v>177.77</v>
      </c>
      <c r="L502">
        <v>0</v>
      </c>
      <c r="M502">
        <v>0</v>
      </c>
      <c r="N502">
        <v>0</v>
      </c>
      <c r="O502">
        <v>0</v>
      </c>
      <c r="P502">
        <v>2</v>
      </c>
      <c r="Q502">
        <v>2</v>
      </c>
      <c r="R502">
        <v>5</v>
      </c>
      <c r="S502">
        <v>0</v>
      </c>
      <c r="T502">
        <v>66</v>
      </c>
      <c r="U502">
        <v>2</v>
      </c>
      <c r="V502" s="1">
        <v>13181</v>
      </c>
      <c r="W502">
        <v>33</v>
      </c>
      <c r="X502">
        <v>13.2</v>
      </c>
      <c r="Y502">
        <v>15</v>
      </c>
      <c r="Z502">
        <v>0</v>
      </c>
      <c r="AA502">
        <v>0</v>
      </c>
      <c r="AB502">
        <v>1</v>
      </c>
      <c r="AC502">
        <v>0</v>
      </c>
      <c r="AD502">
        <f t="shared" ca="1" si="7"/>
        <v>4</v>
      </c>
      <c r="AE502">
        <f>AVERAGE(Table1[[#This Row],[Runs Conceded]]/Table1[[#This Row],[Wickets Taken]])</f>
        <v>33</v>
      </c>
    </row>
    <row r="503" spans="1:31" x14ac:dyDescent="0.3">
      <c r="A503" t="s">
        <v>338</v>
      </c>
      <c r="B503" t="s">
        <v>350</v>
      </c>
      <c r="C503" t="s">
        <v>28</v>
      </c>
      <c r="D503">
        <v>3</v>
      </c>
      <c r="E503">
        <v>1</v>
      </c>
      <c r="F503">
        <v>0</v>
      </c>
      <c r="G503">
        <v>7</v>
      </c>
      <c r="H503">
        <v>7</v>
      </c>
      <c r="I503">
        <v>7</v>
      </c>
      <c r="J503">
        <v>11</v>
      </c>
      <c r="K503">
        <v>63.63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9</v>
      </c>
      <c r="S503">
        <v>0</v>
      </c>
      <c r="T503">
        <v>45</v>
      </c>
      <c r="U503">
        <v>4</v>
      </c>
      <c r="V503" s="1">
        <v>41671</v>
      </c>
      <c r="W503">
        <v>11.25</v>
      </c>
      <c r="X503">
        <v>5</v>
      </c>
      <c r="Y503">
        <v>13.5</v>
      </c>
      <c r="Z503">
        <v>0</v>
      </c>
      <c r="AA503">
        <v>0</v>
      </c>
      <c r="AB503">
        <v>0</v>
      </c>
      <c r="AC503">
        <v>0</v>
      </c>
      <c r="AD503">
        <f t="shared" ca="1" si="7"/>
        <v>15</v>
      </c>
      <c r="AE503">
        <f>AVERAGE(Table1[[#This Row],[Runs Conceded]]/Table1[[#This Row],[Wickets Taken]])</f>
        <v>11.25</v>
      </c>
    </row>
    <row r="504" spans="1:31" x14ac:dyDescent="0.3">
      <c r="A504" t="s">
        <v>338</v>
      </c>
      <c r="B504" t="s">
        <v>351</v>
      </c>
      <c r="C504" t="s">
        <v>28</v>
      </c>
      <c r="D504">
        <v>2</v>
      </c>
      <c r="E504">
        <v>1</v>
      </c>
      <c r="F504">
        <v>0</v>
      </c>
      <c r="G504">
        <v>6</v>
      </c>
      <c r="H504">
        <v>6</v>
      </c>
      <c r="I504">
        <v>6</v>
      </c>
      <c r="J504">
        <v>12</v>
      </c>
      <c r="K504">
        <v>50</v>
      </c>
      <c r="L504">
        <v>0</v>
      </c>
      <c r="M504">
        <v>0</v>
      </c>
      <c r="N504">
        <v>0</v>
      </c>
      <c r="O504">
        <v>0</v>
      </c>
      <c r="P504">
        <v>0</v>
      </c>
      <c r="Q504" t="s">
        <v>37</v>
      </c>
      <c r="R504" t="s">
        <v>37</v>
      </c>
      <c r="S504" t="s">
        <v>37</v>
      </c>
      <c r="T504" t="s">
        <v>37</v>
      </c>
      <c r="U504" t="s">
        <v>37</v>
      </c>
      <c r="V504" t="s">
        <v>37</v>
      </c>
      <c r="W504" t="s">
        <v>37</v>
      </c>
      <c r="X504" t="s">
        <v>37</v>
      </c>
      <c r="Y504" t="s">
        <v>37</v>
      </c>
      <c r="Z504" t="s">
        <v>37</v>
      </c>
      <c r="AA504" t="s">
        <v>37</v>
      </c>
      <c r="AB504">
        <v>0</v>
      </c>
      <c r="AC504">
        <v>0</v>
      </c>
      <c r="AD504">
        <f t="shared" ca="1" si="7"/>
        <v>14</v>
      </c>
      <c r="AE504" t="e">
        <f>AVERAGE(Table1[[#This Row],[Runs Conceded]]/Table1[[#This Row],[Wickets Taken]])</f>
        <v>#VALUE!</v>
      </c>
    </row>
    <row r="505" spans="1:31" x14ac:dyDescent="0.3">
      <c r="A505" t="s">
        <v>338</v>
      </c>
      <c r="B505" t="s">
        <v>331</v>
      </c>
      <c r="C505" t="s">
        <v>28</v>
      </c>
      <c r="D505">
        <v>4</v>
      </c>
      <c r="E505">
        <v>3</v>
      </c>
      <c r="F505">
        <v>0</v>
      </c>
      <c r="G505">
        <v>11</v>
      </c>
      <c r="H505">
        <v>7</v>
      </c>
      <c r="I505">
        <v>3.66</v>
      </c>
      <c r="J505">
        <v>13</v>
      </c>
      <c r="K505">
        <v>84.61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3</v>
      </c>
      <c r="R505">
        <v>8</v>
      </c>
      <c r="S505">
        <v>0</v>
      </c>
      <c r="T505">
        <v>61</v>
      </c>
      <c r="U505">
        <v>0</v>
      </c>
      <c r="V505" t="s">
        <v>37</v>
      </c>
      <c r="W505" t="s">
        <v>37</v>
      </c>
      <c r="X505">
        <v>7.62</v>
      </c>
      <c r="Y505" t="s">
        <v>37</v>
      </c>
      <c r="Z505">
        <v>0</v>
      </c>
      <c r="AA505">
        <v>0</v>
      </c>
      <c r="AB505">
        <v>1</v>
      </c>
      <c r="AC505">
        <v>0</v>
      </c>
      <c r="AD505">
        <f t="shared" ca="1" si="7"/>
        <v>14</v>
      </c>
      <c r="AE505" t="e">
        <f>AVERAGE(Table1[[#This Row],[Runs Conceded]]/Table1[[#This Row],[Wickets Taken]])</f>
        <v>#DIV/0!</v>
      </c>
    </row>
    <row r="506" spans="1:31" x14ac:dyDescent="0.3">
      <c r="A506" t="s">
        <v>338</v>
      </c>
      <c r="B506" t="s">
        <v>142</v>
      </c>
      <c r="C506" t="s">
        <v>28</v>
      </c>
      <c r="D506">
        <v>10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1</v>
      </c>
      <c r="O506">
        <v>0</v>
      </c>
      <c r="P506">
        <v>0</v>
      </c>
      <c r="Q506">
        <v>10</v>
      </c>
      <c r="R506">
        <v>28.3</v>
      </c>
      <c r="S506">
        <v>0</v>
      </c>
      <c r="T506">
        <v>241</v>
      </c>
      <c r="U506">
        <v>7</v>
      </c>
      <c r="V506" s="1">
        <v>13210</v>
      </c>
      <c r="W506">
        <v>34.42</v>
      </c>
      <c r="X506">
        <v>8.4499999999999993</v>
      </c>
      <c r="Y506">
        <v>24.4</v>
      </c>
      <c r="Z506">
        <v>0</v>
      </c>
      <c r="AA506">
        <v>0</v>
      </c>
      <c r="AB506">
        <v>0</v>
      </c>
      <c r="AC506">
        <v>0</v>
      </c>
      <c r="AD506">
        <f t="shared" ca="1" si="7"/>
        <v>11</v>
      </c>
      <c r="AE506">
        <f>AVERAGE(Table1[[#This Row],[Runs Conceded]]/Table1[[#This Row],[Wickets Taken]])</f>
        <v>34.428571428571431</v>
      </c>
    </row>
    <row r="507" spans="1:31" x14ac:dyDescent="0.3">
      <c r="A507" t="s">
        <v>338</v>
      </c>
      <c r="B507" t="s">
        <v>352</v>
      </c>
      <c r="C507" t="s">
        <v>28</v>
      </c>
      <c r="D507">
        <v>5</v>
      </c>
      <c r="E507">
        <v>1</v>
      </c>
      <c r="F507">
        <v>0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1</v>
      </c>
      <c r="O507">
        <v>0</v>
      </c>
      <c r="P507">
        <v>0</v>
      </c>
      <c r="Q507">
        <v>5</v>
      </c>
      <c r="R507">
        <v>17</v>
      </c>
      <c r="S507">
        <v>0</v>
      </c>
      <c r="T507">
        <v>115</v>
      </c>
      <c r="U507">
        <v>12</v>
      </c>
      <c r="V507" s="1">
        <v>43617</v>
      </c>
      <c r="W507">
        <v>9.58</v>
      </c>
      <c r="X507">
        <v>6.76</v>
      </c>
      <c r="Y507">
        <v>8.5</v>
      </c>
      <c r="Z507">
        <v>0</v>
      </c>
      <c r="AA507">
        <v>1</v>
      </c>
      <c r="AB507">
        <v>0</v>
      </c>
      <c r="AC507">
        <v>0</v>
      </c>
      <c r="AD507">
        <f t="shared" ca="1" si="7"/>
        <v>7</v>
      </c>
      <c r="AE507">
        <f>AVERAGE(Table1[[#This Row],[Runs Conceded]]/Table1[[#This Row],[Wickets Taken]])</f>
        <v>9.5833333333333339</v>
      </c>
    </row>
    <row r="508" spans="1:31" x14ac:dyDescent="0.3">
      <c r="A508" t="s">
        <v>338</v>
      </c>
      <c r="B508" t="s">
        <v>353</v>
      </c>
      <c r="C508" t="s">
        <v>28</v>
      </c>
      <c r="D508">
        <v>3</v>
      </c>
      <c r="E508">
        <v>1</v>
      </c>
      <c r="F508">
        <v>1</v>
      </c>
      <c r="G508">
        <v>3</v>
      </c>
      <c r="H508" t="s">
        <v>235</v>
      </c>
      <c r="I508" t="s">
        <v>37</v>
      </c>
      <c r="J508">
        <v>3</v>
      </c>
      <c r="K508">
        <v>100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3</v>
      </c>
      <c r="R508">
        <v>11</v>
      </c>
      <c r="S508">
        <v>0</v>
      </c>
      <c r="T508">
        <v>84</v>
      </c>
      <c r="U508">
        <v>1</v>
      </c>
      <c r="V508" s="1">
        <v>46388</v>
      </c>
      <c r="W508">
        <v>84</v>
      </c>
      <c r="X508">
        <v>7.63</v>
      </c>
      <c r="Y508">
        <v>66</v>
      </c>
      <c r="Z508">
        <v>0</v>
      </c>
      <c r="AA508">
        <v>0</v>
      </c>
      <c r="AB508">
        <v>1</v>
      </c>
      <c r="AC508">
        <v>0</v>
      </c>
      <c r="AD508">
        <f t="shared" ca="1" si="7"/>
        <v>5</v>
      </c>
      <c r="AE508">
        <f>AVERAGE(Table1[[#This Row],[Runs Conceded]]/Table1[[#This Row],[Wickets Taken]])</f>
        <v>84</v>
      </c>
    </row>
    <row r="509" spans="1:31" x14ac:dyDescent="0.3">
      <c r="A509" t="s">
        <v>338</v>
      </c>
      <c r="B509" t="s">
        <v>143</v>
      </c>
      <c r="C509" t="s">
        <v>28</v>
      </c>
      <c r="D509">
        <v>4</v>
      </c>
      <c r="E509">
        <v>1</v>
      </c>
      <c r="F509">
        <v>1</v>
      </c>
      <c r="G509">
        <v>0</v>
      </c>
      <c r="H509" t="s">
        <v>148</v>
      </c>
      <c r="I509" t="s">
        <v>37</v>
      </c>
      <c r="J509">
        <v>0</v>
      </c>
      <c r="K509" t="s">
        <v>37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4</v>
      </c>
      <c r="R509">
        <v>15</v>
      </c>
      <c r="S509">
        <v>0</v>
      </c>
      <c r="T509">
        <v>148</v>
      </c>
      <c r="U509">
        <v>3</v>
      </c>
      <c r="V509" s="1">
        <v>13181</v>
      </c>
      <c r="W509">
        <v>49.33</v>
      </c>
      <c r="X509">
        <v>9.86</v>
      </c>
      <c r="Y509">
        <v>30</v>
      </c>
      <c r="Z509">
        <v>0</v>
      </c>
      <c r="AA509">
        <v>0</v>
      </c>
      <c r="AB509">
        <v>2</v>
      </c>
      <c r="AC509">
        <v>0</v>
      </c>
      <c r="AD509">
        <f t="shared" ca="1" si="7"/>
        <v>14</v>
      </c>
      <c r="AE509">
        <f>AVERAGE(Table1[[#This Row],[Runs Conceded]]/Table1[[#This Row],[Wickets Taken]])</f>
        <v>49.333333333333336</v>
      </c>
    </row>
    <row r="510" spans="1:31" x14ac:dyDescent="0.3">
      <c r="A510" t="s">
        <v>338</v>
      </c>
      <c r="B510" t="s">
        <v>354</v>
      </c>
      <c r="C510" t="s">
        <v>28</v>
      </c>
      <c r="D510">
        <v>2</v>
      </c>
      <c r="E510" t="s">
        <v>37</v>
      </c>
      <c r="F510" t="s">
        <v>37</v>
      </c>
      <c r="G510" t="s">
        <v>37</v>
      </c>
      <c r="H510" t="s">
        <v>37</v>
      </c>
      <c r="I510" t="s">
        <v>37</v>
      </c>
      <c r="J510" t="s">
        <v>37</v>
      </c>
      <c r="K510" t="s">
        <v>37</v>
      </c>
      <c r="L510" t="s">
        <v>37</v>
      </c>
      <c r="M510" t="s">
        <v>37</v>
      </c>
      <c r="N510" t="s">
        <v>37</v>
      </c>
      <c r="O510" t="s">
        <v>37</v>
      </c>
      <c r="P510" t="s">
        <v>37</v>
      </c>
      <c r="Q510">
        <v>2</v>
      </c>
      <c r="R510">
        <v>7</v>
      </c>
      <c r="S510">
        <v>0</v>
      </c>
      <c r="T510">
        <v>54</v>
      </c>
      <c r="U510">
        <v>2</v>
      </c>
      <c r="V510" s="1">
        <v>11355</v>
      </c>
      <c r="W510">
        <v>27</v>
      </c>
      <c r="X510">
        <v>7.71</v>
      </c>
      <c r="Y510">
        <v>21</v>
      </c>
      <c r="Z510">
        <v>0</v>
      </c>
      <c r="AA510">
        <v>0</v>
      </c>
      <c r="AB510">
        <v>0</v>
      </c>
      <c r="AC510">
        <v>0</v>
      </c>
      <c r="AD510">
        <f t="shared" ca="1" si="7"/>
        <v>10</v>
      </c>
      <c r="AE510">
        <f>AVERAGE(Table1[[#This Row],[Runs Conceded]]/Table1[[#This Row],[Wickets Taken]])</f>
        <v>27</v>
      </c>
    </row>
    <row r="511" spans="1:31" x14ac:dyDescent="0.3">
      <c r="A511" t="s">
        <v>338</v>
      </c>
      <c r="B511" t="s">
        <v>355</v>
      </c>
      <c r="C511" t="s">
        <v>28</v>
      </c>
      <c r="D511">
        <v>2</v>
      </c>
      <c r="E511" t="s">
        <v>37</v>
      </c>
      <c r="F511" t="s">
        <v>37</v>
      </c>
      <c r="G511" t="s">
        <v>37</v>
      </c>
      <c r="H511" t="s">
        <v>37</v>
      </c>
      <c r="I511" t="s">
        <v>37</v>
      </c>
      <c r="J511" t="s">
        <v>37</v>
      </c>
      <c r="K511" t="s">
        <v>37</v>
      </c>
      <c r="L511" t="s">
        <v>37</v>
      </c>
      <c r="M511" t="s">
        <v>37</v>
      </c>
      <c r="N511" t="s">
        <v>37</v>
      </c>
      <c r="O511" t="s">
        <v>37</v>
      </c>
      <c r="P511" t="s">
        <v>37</v>
      </c>
      <c r="Q511">
        <v>2</v>
      </c>
      <c r="R511">
        <v>5</v>
      </c>
      <c r="S511">
        <v>0</v>
      </c>
      <c r="T511">
        <v>41</v>
      </c>
      <c r="U511">
        <v>0</v>
      </c>
      <c r="V511" t="s">
        <v>37</v>
      </c>
      <c r="W511" t="s">
        <v>37</v>
      </c>
      <c r="X511">
        <v>8.1999999999999993</v>
      </c>
      <c r="Y511" t="s">
        <v>37</v>
      </c>
      <c r="Z511">
        <v>0</v>
      </c>
      <c r="AA511">
        <v>0</v>
      </c>
      <c r="AB511">
        <v>1</v>
      </c>
      <c r="AC511">
        <v>0</v>
      </c>
      <c r="AD511">
        <f t="shared" ca="1" si="7"/>
        <v>8</v>
      </c>
      <c r="AE511" t="e">
        <f>AVERAGE(Table1[[#This Row],[Runs Conceded]]/Table1[[#This Row],[Wickets Taken]])</f>
        <v>#DIV/0!</v>
      </c>
    </row>
    <row r="512" spans="1:31" x14ac:dyDescent="0.3">
      <c r="A512" t="s">
        <v>338</v>
      </c>
      <c r="B512" t="s">
        <v>356</v>
      </c>
      <c r="C512" t="s">
        <v>28</v>
      </c>
      <c r="D512">
        <v>9</v>
      </c>
      <c r="E512" t="s">
        <v>37</v>
      </c>
      <c r="F512" t="s">
        <v>37</v>
      </c>
      <c r="G512" t="s">
        <v>37</v>
      </c>
      <c r="H512" t="s">
        <v>37</v>
      </c>
      <c r="I512" t="s">
        <v>37</v>
      </c>
      <c r="J512" t="s">
        <v>37</v>
      </c>
      <c r="K512" t="s">
        <v>37</v>
      </c>
      <c r="L512" t="s">
        <v>37</v>
      </c>
      <c r="M512" t="s">
        <v>37</v>
      </c>
      <c r="N512" t="s">
        <v>37</v>
      </c>
      <c r="O512" t="s">
        <v>37</v>
      </c>
      <c r="P512" t="s">
        <v>37</v>
      </c>
      <c r="Q512">
        <v>9</v>
      </c>
      <c r="R512">
        <v>30.3</v>
      </c>
      <c r="S512">
        <v>2</v>
      </c>
      <c r="T512">
        <v>231</v>
      </c>
      <c r="U512">
        <v>11</v>
      </c>
      <c r="V512" s="1">
        <v>43891</v>
      </c>
      <c r="W512">
        <v>21</v>
      </c>
      <c r="X512">
        <v>7.57</v>
      </c>
      <c r="Y512">
        <v>16.600000000000001</v>
      </c>
      <c r="Z512">
        <v>0</v>
      </c>
      <c r="AA512">
        <v>0</v>
      </c>
      <c r="AB512">
        <v>0</v>
      </c>
      <c r="AC512">
        <v>0</v>
      </c>
      <c r="AD512">
        <f t="shared" ca="1" si="7"/>
        <v>16</v>
      </c>
      <c r="AE512">
        <f>AVERAGE(Table1[[#This Row],[Runs Conceded]]/Table1[[#This Row],[Wickets Taken]])</f>
        <v>21</v>
      </c>
    </row>
    <row r="513" spans="1:31" x14ac:dyDescent="0.3">
      <c r="A513" t="s">
        <v>338</v>
      </c>
      <c r="B513" t="s">
        <v>357</v>
      </c>
      <c r="C513" t="s">
        <v>28</v>
      </c>
      <c r="D513">
        <v>4</v>
      </c>
      <c r="E513" t="s">
        <v>37</v>
      </c>
      <c r="F513" t="s">
        <v>37</v>
      </c>
      <c r="G513" t="s">
        <v>37</v>
      </c>
      <c r="H513" t="s">
        <v>37</v>
      </c>
      <c r="I513" t="s">
        <v>37</v>
      </c>
      <c r="J513" t="s">
        <v>37</v>
      </c>
      <c r="K513" t="s">
        <v>37</v>
      </c>
      <c r="L513" t="s">
        <v>37</v>
      </c>
      <c r="M513" t="s">
        <v>37</v>
      </c>
      <c r="N513" t="s">
        <v>37</v>
      </c>
      <c r="O513" t="s">
        <v>37</v>
      </c>
      <c r="P513" t="s">
        <v>37</v>
      </c>
      <c r="Q513">
        <v>4</v>
      </c>
      <c r="R513">
        <v>12</v>
      </c>
      <c r="S513">
        <v>0</v>
      </c>
      <c r="T513">
        <v>111</v>
      </c>
      <c r="U513">
        <v>3</v>
      </c>
      <c r="V513" s="1">
        <v>44927</v>
      </c>
      <c r="W513">
        <v>37</v>
      </c>
      <c r="X513">
        <v>9.25</v>
      </c>
      <c r="Y513">
        <v>24</v>
      </c>
      <c r="Z513">
        <v>0</v>
      </c>
      <c r="AA513">
        <v>0</v>
      </c>
      <c r="AB513">
        <v>0</v>
      </c>
      <c r="AC513">
        <v>0</v>
      </c>
      <c r="AD513">
        <f t="shared" ca="1" si="7"/>
        <v>6</v>
      </c>
      <c r="AE513">
        <f>AVERAGE(Table1[[#This Row],[Runs Conceded]]/Table1[[#This Row],[Wickets Taken]])</f>
        <v>37</v>
      </c>
    </row>
    <row r="514" spans="1:31" x14ac:dyDescent="0.3">
      <c r="A514" t="s">
        <v>358</v>
      </c>
      <c r="B514" t="s">
        <v>47</v>
      </c>
      <c r="C514" t="s">
        <v>30</v>
      </c>
      <c r="D514">
        <v>3</v>
      </c>
      <c r="E514">
        <v>3</v>
      </c>
      <c r="F514">
        <v>0</v>
      </c>
      <c r="G514">
        <v>26</v>
      </c>
      <c r="H514">
        <v>20</v>
      </c>
      <c r="I514">
        <v>8.66</v>
      </c>
      <c r="J514">
        <v>27</v>
      </c>
      <c r="K514">
        <v>96.29</v>
      </c>
      <c r="L514">
        <v>0</v>
      </c>
      <c r="M514">
        <v>0</v>
      </c>
      <c r="N514">
        <v>1</v>
      </c>
      <c r="O514">
        <v>3</v>
      </c>
      <c r="P514">
        <v>0</v>
      </c>
      <c r="Q514" t="s">
        <v>37</v>
      </c>
      <c r="R514" t="s">
        <v>37</v>
      </c>
      <c r="S514" t="s">
        <v>37</v>
      </c>
      <c r="T514" t="s">
        <v>37</v>
      </c>
      <c r="U514" t="s">
        <v>37</v>
      </c>
      <c r="V514" t="s">
        <v>37</v>
      </c>
      <c r="W514" t="s">
        <v>37</v>
      </c>
      <c r="X514" t="s">
        <v>37</v>
      </c>
      <c r="Y514" t="s">
        <v>37</v>
      </c>
      <c r="Z514" t="s">
        <v>37</v>
      </c>
      <c r="AA514" t="s">
        <v>37</v>
      </c>
      <c r="AB514">
        <v>1</v>
      </c>
      <c r="AC514">
        <v>0</v>
      </c>
      <c r="AD514">
        <f t="shared" ref="AD514:AD577" ca="1" si="8">RANDBETWEEN(3,18)</f>
        <v>8</v>
      </c>
      <c r="AE514" t="e">
        <f>AVERAGE(Table1[[#This Row],[Runs Conceded]]/Table1[[#This Row],[Wickets Taken]])</f>
        <v>#VALUE!</v>
      </c>
    </row>
    <row r="515" spans="1:31" x14ac:dyDescent="0.3">
      <c r="A515" t="s">
        <v>358</v>
      </c>
      <c r="B515" t="s">
        <v>50</v>
      </c>
      <c r="C515" t="s">
        <v>30</v>
      </c>
      <c r="D515">
        <v>12</v>
      </c>
      <c r="E515">
        <v>1</v>
      </c>
      <c r="F515">
        <v>1</v>
      </c>
      <c r="G515">
        <v>0</v>
      </c>
      <c r="H515" t="s">
        <v>148</v>
      </c>
      <c r="I515" t="s">
        <v>37</v>
      </c>
      <c r="J515">
        <v>2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12</v>
      </c>
      <c r="R515">
        <v>47</v>
      </c>
      <c r="S515">
        <v>0</v>
      </c>
      <c r="T515">
        <v>369</v>
      </c>
      <c r="U515">
        <v>18</v>
      </c>
      <c r="V515" s="1">
        <v>43160</v>
      </c>
      <c r="W515">
        <v>20.5</v>
      </c>
      <c r="X515">
        <v>7.85</v>
      </c>
      <c r="Y515">
        <v>15.6</v>
      </c>
      <c r="Z515">
        <v>0</v>
      </c>
      <c r="AA515">
        <v>0</v>
      </c>
      <c r="AB515">
        <v>2</v>
      </c>
      <c r="AC515">
        <v>0</v>
      </c>
      <c r="AD515">
        <f t="shared" ca="1" si="8"/>
        <v>15</v>
      </c>
      <c r="AE515">
        <f>AVERAGE(Table1[[#This Row],[Runs Conceded]]/Table1[[#This Row],[Wickets Taken]])</f>
        <v>20.5</v>
      </c>
    </row>
    <row r="516" spans="1:31" x14ac:dyDescent="0.3">
      <c r="A516" t="s">
        <v>358</v>
      </c>
      <c r="B516" t="s">
        <v>188</v>
      </c>
      <c r="C516" t="s">
        <v>30</v>
      </c>
      <c r="D516">
        <v>12</v>
      </c>
      <c r="E516">
        <v>2</v>
      </c>
      <c r="F516">
        <v>2</v>
      </c>
      <c r="G516">
        <v>2</v>
      </c>
      <c r="H516" t="s">
        <v>59</v>
      </c>
      <c r="I516" t="s">
        <v>37</v>
      </c>
      <c r="J516">
        <v>5</v>
      </c>
      <c r="K516">
        <v>40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12</v>
      </c>
      <c r="R516">
        <v>45.5</v>
      </c>
      <c r="S516">
        <v>3</v>
      </c>
      <c r="T516">
        <v>322</v>
      </c>
      <c r="U516">
        <v>24</v>
      </c>
      <c r="V516" s="1">
        <v>11079</v>
      </c>
      <c r="W516">
        <v>13.41</v>
      </c>
      <c r="X516">
        <v>7.02</v>
      </c>
      <c r="Y516">
        <v>11.4</v>
      </c>
      <c r="Z516">
        <v>0</v>
      </c>
      <c r="AA516">
        <v>1</v>
      </c>
      <c r="AB516">
        <v>9</v>
      </c>
      <c r="AC516">
        <v>0</v>
      </c>
      <c r="AD516">
        <f t="shared" ca="1" si="8"/>
        <v>14</v>
      </c>
      <c r="AE516">
        <f>AVERAGE(Table1[[#This Row],[Runs Conceded]]/Table1[[#This Row],[Wickets Taken]])</f>
        <v>13.416666666666666</v>
      </c>
    </row>
    <row r="517" spans="1:31" x14ac:dyDescent="0.3">
      <c r="A517" t="s">
        <v>358</v>
      </c>
      <c r="B517" t="s">
        <v>339</v>
      </c>
      <c r="C517" t="s">
        <v>30</v>
      </c>
      <c r="D517">
        <v>15</v>
      </c>
      <c r="E517">
        <v>15</v>
      </c>
      <c r="F517">
        <v>3</v>
      </c>
      <c r="G517">
        <v>472</v>
      </c>
      <c r="H517" t="s">
        <v>359</v>
      </c>
      <c r="I517">
        <v>39.33</v>
      </c>
      <c r="J517">
        <v>387</v>
      </c>
      <c r="K517">
        <v>121.96</v>
      </c>
      <c r="L517">
        <v>0</v>
      </c>
      <c r="M517">
        <v>3</v>
      </c>
      <c r="N517">
        <v>0</v>
      </c>
      <c r="O517">
        <v>38</v>
      </c>
      <c r="P517">
        <v>12</v>
      </c>
      <c r="Q517" t="s">
        <v>37</v>
      </c>
      <c r="R517" t="s">
        <v>37</v>
      </c>
      <c r="S517" t="s">
        <v>37</v>
      </c>
      <c r="T517" t="s">
        <v>37</v>
      </c>
      <c r="U517" t="s">
        <v>37</v>
      </c>
      <c r="V517" t="s">
        <v>37</v>
      </c>
      <c r="W517" t="s">
        <v>37</v>
      </c>
      <c r="X517" t="s">
        <v>37</v>
      </c>
      <c r="Y517" t="s">
        <v>37</v>
      </c>
      <c r="Z517" t="s">
        <v>37</v>
      </c>
      <c r="AA517" t="s">
        <v>37</v>
      </c>
      <c r="AB517">
        <v>7</v>
      </c>
      <c r="AC517">
        <v>0</v>
      </c>
      <c r="AD517">
        <f t="shared" ca="1" si="8"/>
        <v>3</v>
      </c>
      <c r="AE517" t="e">
        <f>AVERAGE(Table1[[#This Row],[Runs Conceded]]/Table1[[#This Row],[Wickets Taken]])</f>
        <v>#VALUE!</v>
      </c>
    </row>
    <row r="518" spans="1:31" x14ac:dyDescent="0.3">
      <c r="A518" t="s">
        <v>358</v>
      </c>
      <c r="B518" t="s">
        <v>340</v>
      </c>
      <c r="C518" t="s">
        <v>30</v>
      </c>
      <c r="D518">
        <v>16</v>
      </c>
      <c r="E518">
        <v>16</v>
      </c>
      <c r="F518">
        <v>1</v>
      </c>
      <c r="G518">
        <v>382</v>
      </c>
      <c r="H518">
        <v>60</v>
      </c>
      <c r="I518">
        <v>25.46</v>
      </c>
      <c r="J518">
        <v>323</v>
      </c>
      <c r="K518">
        <v>118.26</v>
      </c>
      <c r="L518">
        <v>0</v>
      </c>
      <c r="M518">
        <v>2</v>
      </c>
      <c r="N518">
        <v>2</v>
      </c>
      <c r="O518">
        <v>35</v>
      </c>
      <c r="P518">
        <v>9</v>
      </c>
      <c r="Q518" t="s">
        <v>37</v>
      </c>
      <c r="R518" t="s">
        <v>37</v>
      </c>
      <c r="S518" t="s">
        <v>37</v>
      </c>
      <c r="T518" t="s">
        <v>37</v>
      </c>
      <c r="U518" t="s">
        <v>37</v>
      </c>
      <c r="V518" t="s">
        <v>37</v>
      </c>
      <c r="W518" t="s">
        <v>37</v>
      </c>
      <c r="X518" t="s">
        <v>37</v>
      </c>
      <c r="Y518" t="s">
        <v>37</v>
      </c>
      <c r="Z518" t="s">
        <v>37</v>
      </c>
      <c r="AA518" t="s">
        <v>37</v>
      </c>
      <c r="AB518">
        <v>6</v>
      </c>
      <c r="AC518">
        <v>0</v>
      </c>
      <c r="AD518">
        <f t="shared" ca="1" si="8"/>
        <v>17</v>
      </c>
      <c r="AE518" t="e">
        <f>AVERAGE(Table1[[#This Row],[Runs Conceded]]/Table1[[#This Row],[Wickets Taken]])</f>
        <v>#VALUE!</v>
      </c>
    </row>
    <row r="519" spans="1:31" x14ac:dyDescent="0.3">
      <c r="A519" t="s">
        <v>358</v>
      </c>
      <c r="B519" t="s">
        <v>341</v>
      </c>
      <c r="C519" t="s">
        <v>30</v>
      </c>
      <c r="D519">
        <v>16</v>
      </c>
      <c r="E519">
        <v>15</v>
      </c>
      <c r="F519">
        <v>4</v>
      </c>
      <c r="G519">
        <v>290</v>
      </c>
      <c r="H519" t="s">
        <v>360</v>
      </c>
      <c r="I519">
        <v>26.36</v>
      </c>
      <c r="J519">
        <v>250</v>
      </c>
      <c r="K519">
        <v>116</v>
      </c>
      <c r="L519">
        <v>0</v>
      </c>
      <c r="M519">
        <v>1</v>
      </c>
      <c r="N519">
        <v>0</v>
      </c>
      <c r="O519">
        <v>15</v>
      </c>
      <c r="P519">
        <v>16</v>
      </c>
      <c r="Q519" t="s">
        <v>37</v>
      </c>
      <c r="R519" t="s">
        <v>37</v>
      </c>
      <c r="S519" t="s">
        <v>37</v>
      </c>
      <c r="T519" t="s">
        <v>37</v>
      </c>
      <c r="U519" t="s">
        <v>37</v>
      </c>
      <c r="V519" t="s">
        <v>37</v>
      </c>
      <c r="W519" t="s">
        <v>37</v>
      </c>
      <c r="X519" t="s">
        <v>37</v>
      </c>
      <c r="Y519" t="s">
        <v>37</v>
      </c>
      <c r="Z519" t="s">
        <v>37</v>
      </c>
      <c r="AA519" t="s">
        <v>37</v>
      </c>
      <c r="AB519">
        <v>10</v>
      </c>
      <c r="AC519">
        <v>3</v>
      </c>
      <c r="AD519">
        <f t="shared" ca="1" si="8"/>
        <v>12</v>
      </c>
      <c r="AE519" t="e">
        <f>AVERAGE(Table1[[#This Row],[Runs Conceded]]/Table1[[#This Row],[Wickets Taken]])</f>
        <v>#VALUE!</v>
      </c>
    </row>
    <row r="520" spans="1:31" x14ac:dyDescent="0.3">
      <c r="A520" t="s">
        <v>358</v>
      </c>
      <c r="B520" t="s">
        <v>344</v>
      </c>
      <c r="C520" t="s">
        <v>30</v>
      </c>
      <c r="D520">
        <v>2</v>
      </c>
      <c r="E520">
        <v>1</v>
      </c>
      <c r="F520">
        <v>0</v>
      </c>
      <c r="G520">
        <v>8</v>
      </c>
      <c r="H520">
        <v>8</v>
      </c>
      <c r="I520">
        <v>8</v>
      </c>
      <c r="J520">
        <v>7</v>
      </c>
      <c r="K520">
        <v>114.28</v>
      </c>
      <c r="L520">
        <v>0</v>
      </c>
      <c r="M520">
        <v>0</v>
      </c>
      <c r="N520">
        <v>0</v>
      </c>
      <c r="O520">
        <v>1</v>
      </c>
      <c r="P520">
        <v>0</v>
      </c>
      <c r="Q520" t="s">
        <v>37</v>
      </c>
      <c r="R520" t="s">
        <v>37</v>
      </c>
      <c r="S520" t="s">
        <v>37</v>
      </c>
      <c r="T520" t="s">
        <v>37</v>
      </c>
      <c r="U520" t="s">
        <v>37</v>
      </c>
      <c r="V520" t="s">
        <v>37</v>
      </c>
      <c r="W520" t="s">
        <v>37</v>
      </c>
      <c r="X520" t="s">
        <v>37</v>
      </c>
      <c r="Y520" t="s">
        <v>37</v>
      </c>
      <c r="Z520" t="s">
        <v>37</v>
      </c>
      <c r="AA520" t="s">
        <v>37</v>
      </c>
      <c r="AB520">
        <v>0</v>
      </c>
      <c r="AC520">
        <v>0</v>
      </c>
      <c r="AD520">
        <f t="shared" ca="1" si="8"/>
        <v>7</v>
      </c>
      <c r="AE520" t="e">
        <f>AVERAGE(Table1[[#This Row],[Runs Conceded]]/Table1[[#This Row],[Wickets Taken]])</f>
        <v>#VALUE!</v>
      </c>
    </row>
    <row r="521" spans="1:31" x14ac:dyDescent="0.3">
      <c r="A521" t="s">
        <v>358</v>
      </c>
      <c r="B521" t="s">
        <v>345</v>
      </c>
      <c r="C521" t="s">
        <v>30</v>
      </c>
      <c r="D521">
        <v>3</v>
      </c>
      <c r="E521">
        <v>2</v>
      </c>
      <c r="F521">
        <v>1</v>
      </c>
      <c r="G521">
        <v>16</v>
      </c>
      <c r="H521">
        <v>16</v>
      </c>
      <c r="I521">
        <v>16</v>
      </c>
      <c r="J521">
        <v>17</v>
      </c>
      <c r="K521">
        <v>94.11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3</v>
      </c>
      <c r="R521">
        <v>7</v>
      </c>
      <c r="S521">
        <v>0</v>
      </c>
      <c r="T521">
        <v>55</v>
      </c>
      <c r="U521">
        <v>2</v>
      </c>
      <c r="V521" s="1">
        <v>41671</v>
      </c>
      <c r="W521">
        <v>27.5</v>
      </c>
      <c r="X521">
        <v>7.85</v>
      </c>
      <c r="Y521">
        <v>21</v>
      </c>
      <c r="Z521">
        <v>0</v>
      </c>
      <c r="AA521">
        <v>0</v>
      </c>
      <c r="AB521">
        <v>2</v>
      </c>
      <c r="AC521">
        <v>0</v>
      </c>
      <c r="AD521">
        <f t="shared" ca="1" si="8"/>
        <v>6</v>
      </c>
      <c r="AE521">
        <f>AVERAGE(Table1[[#This Row],[Runs Conceded]]/Table1[[#This Row],[Wickets Taken]])</f>
        <v>27.5</v>
      </c>
    </row>
    <row r="522" spans="1:31" x14ac:dyDescent="0.3">
      <c r="A522" t="s">
        <v>358</v>
      </c>
      <c r="B522" t="s">
        <v>352</v>
      </c>
      <c r="C522" t="s">
        <v>30</v>
      </c>
      <c r="D522">
        <v>6</v>
      </c>
      <c r="E522">
        <v>1</v>
      </c>
      <c r="F522">
        <v>0</v>
      </c>
      <c r="G522">
        <v>5</v>
      </c>
      <c r="H522">
        <v>5</v>
      </c>
      <c r="I522">
        <v>5</v>
      </c>
      <c r="J522">
        <v>7</v>
      </c>
      <c r="K522">
        <v>71.42</v>
      </c>
      <c r="L522">
        <v>0</v>
      </c>
      <c r="M522">
        <v>0</v>
      </c>
      <c r="N522">
        <v>0</v>
      </c>
      <c r="O522">
        <v>1</v>
      </c>
      <c r="P522">
        <v>0</v>
      </c>
      <c r="Q522">
        <v>6</v>
      </c>
      <c r="R522">
        <v>19.5</v>
      </c>
      <c r="S522">
        <v>0</v>
      </c>
      <c r="T522">
        <v>163</v>
      </c>
      <c r="U522">
        <v>7</v>
      </c>
      <c r="V522" s="1">
        <v>44593</v>
      </c>
      <c r="W522">
        <v>23.28</v>
      </c>
      <c r="X522">
        <v>8.2100000000000009</v>
      </c>
      <c r="Y522">
        <v>17</v>
      </c>
      <c r="Z522">
        <v>0</v>
      </c>
      <c r="AA522">
        <v>0</v>
      </c>
      <c r="AB522">
        <v>0</v>
      </c>
      <c r="AC522">
        <v>0</v>
      </c>
      <c r="AD522">
        <f t="shared" ca="1" si="8"/>
        <v>4</v>
      </c>
      <c r="AE522">
        <f>AVERAGE(Table1[[#This Row],[Runs Conceded]]/Table1[[#This Row],[Wickets Taken]])</f>
        <v>23.285714285714285</v>
      </c>
    </row>
    <row r="523" spans="1:31" x14ac:dyDescent="0.3">
      <c r="A523" t="s">
        <v>358</v>
      </c>
      <c r="B523" t="s">
        <v>353</v>
      </c>
      <c r="C523" t="s">
        <v>30</v>
      </c>
      <c r="D523">
        <v>1</v>
      </c>
      <c r="E523">
        <v>1</v>
      </c>
      <c r="F523">
        <v>0</v>
      </c>
      <c r="G523">
        <v>25</v>
      </c>
      <c r="H523">
        <v>25</v>
      </c>
      <c r="I523">
        <v>25</v>
      </c>
      <c r="J523">
        <v>15</v>
      </c>
      <c r="K523">
        <v>166.66</v>
      </c>
      <c r="L523">
        <v>0</v>
      </c>
      <c r="M523">
        <v>0</v>
      </c>
      <c r="N523">
        <v>0</v>
      </c>
      <c r="O523">
        <v>2</v>
      </c>
      <c r="P523">
        <v>1</v>
      </c>
      <c r="Q523">
        <v>1</v>
      </c>
      <c r="R523">
        <v>1</v>
      </c>
      <c r="S523">
        <v>0</v>
      </c>
      <c r="T523">
        <v>16</v>
      </c>
      <c r="U523">
        <v>0</v>
      </c>
      <c r="V523" t="s">
        <v>37</v>
      </c>
      <c r="W523" t="s">
        <v>37</v>
      </c>
      <c r="X523">
        <v>16</v>
      </c>
      <c r="Y523" t="s">
        <v>37</v>
      </c>
      <c r="Z523">
        <v>0</v>
      </c>
      <c r="AA523">
        <v>0</v>
      </c>
      <c r="AB523">
        <v>0</v>
      </c>
      <c r="AC523">
        <v>0</v>
      </c>
      <c r="AD523">
        <f t="shared" ca="1" si="8"/>
        <v>12</v>
      </c>
      <c r="AE523" t="e">
        <f>AVERAGE(Table1[[#This Row],[Runs Conceded]]/Table1[[#This Row],[Wickets Taken]])</f>
        <v>#DIV/0!</v>
      </c>
    </row>
    <row r="524" spans="1:31" x14ac:dyDescent="0.3">
      <c r="A524" t="s">
        <v>358</v>
      </c>
      <c r="B524" t="s">
        <v>355</v>
      </c>
      <c r="C524" t="s">
        <v>30</v>
      </c>
      <c r="D524">
        <v>3</v>
      </c>
      <c r="E524">
        <v>1</v>
      </c>
      <c r="F524">
        <v>0</v>
      </c>
      <c r="G524">
        <v>14</v>
      </c>
      <c r="H524">
        <v>14</v>
      </c>
      <c r="I524">
        <v>14</v>
      </c>
      <c r="J524">
        <v>6</v>
      </c>
      <c r="K524">
        <v>233.33</v>
      </c>
      <c r="L524">
        <v>0</v>
      </c>
      <c r="M524">
        <v>0</v>
      </c>
      <c r="N524">
        <v>0</v>
      </c>
      <c r="O524">
        <v>0</v>
      </c>
      <c r="P524">
        <v>2</v>
      </c>
      <c r="Q524">
        <v>3</v>
      </c>
      <c r="R524">
        <v>7</v>
      </c>
      <c r="S524">
        <v>0</v>
      </c>
      <c r="T524">
        <v>74</v>
      </c>
      <c r="U524">
        <v>1</v>
      </c>
      <c r="V524" s="1">
        <v>12785</v>
      </c>
      <c r="W524">
        <v>74</v>
      </c>
      <c r="X524">
        <v>10.57</v>
      </c>
      <c r="Y524">
        <v>42</v>
      </c>
      <c r="Z524">
        <v>0</v>
      </c>
      <c r="AA524">
        <v>0</v>
      </c>
      <c r="AB524">
        <v>0</v>
      </c>
      <c r="AC524">
        <v>0</v>
      </c>
      <c r="AD524">
        <f t="shared" ca="1" si="8"/>
        <v>7</v>
      </c>
      <c r="AE524">
        <f>AVERAGE(Table1[[#This Row],[Runs Conceded]]/Table1[[#This Row],[Wickets Taken]])</f>
        <v>74</v>
      </c>
    </row>
    <row r="525" spans="1:31" x14ac:dyDescent="0.3">
      <c r="A525" t="s">
        <v>358</v>
      </c>
      <c r="B525" t="s">
        <v>356</v>
      </c>
      <c r="C525" t="s">
        <v>30</v>
      </c>
      <c r="D525">
        <v>3</v>
      </c>
      <c r="E525">
        <v>1</v>
      </c>
      <c r="F525">
        <v>0</v>
      </c>
      <c r="G525">
        <v>7</v>
      </c>
      <c r="H525">
        <v>7</v>
      </c>
      <c r="I525">
        <v>7</v>
      </c>
      <c r="J525">
        <v>7</v>
      </c>
      <c r="K525">
        <v>100</v>
      </c>
      <c r="L525">
        <v>0</v>
      </c>
      <c r="M525">
        <v>0</v>
      </c>
      <c r="N525">
        <v>0</v>
      </c>
      <c r="O525">
        <v>1</v>
      </c>
      <c r="P525">
        <v>0</v>
      </c>
      <c r="Q525">
        <v>3</v>
      </c>
      <c r="R525">
        <v>10</v>
      </c>
      <c r="S525">
        <v>0</v>
      </c>
      <c r="T525">
        <v>119</v>
      </c>
      <c r="U525">
        <v>1</v>
      </c>
      <c r="V525" s="1">
        <v>46023</v>
      </c>
      <c r="W525">
        <v>119</v>
      </c>
      <c r="X525">
        <v>11.9</v>
      </c>
      <c r="Y525">
        <v>60</v>
      </c>
      <c r="Z525">
        <v>0</v>
      </c>
      <c r="AA525">
        <v>0</v>
      </c>
      <c r="AB525">
        <v>0</v>
      </c>
      <c r="AC525">
        <v>0</v>
      </c>
      <c r="AD525">
        <f t="shared" ca="1" si="8"/>
        <v>14</v>
      </c>
      <c r="AE525">
        <f>AVERAGE(Table1[[#This Row],[Runs Conceded]]/Table1[[#This Row],[Wickets Taken]])</f>
        <v>119</v>
      </c>
    </row>
    <row r="526" spans="1:31" x14ac:dyDescent="0.3">
      <c r="A526" t="s">
        <v>358</v>
      </c>
      <c r="B526" t="s">
        <v>149</v>
      </c>
      <c r="C526" t="s">
        <v>30</v>
      </c>
      <c r="D526">
        <v>15</v>
      </c>
      <c r="E526">
        <v>13</v>
      </c>
      <c r="F526">
        <v>3</v>
      </c>
      <c r="G526">
        <v>324</v>
      </c>
      <c r="H526">
        <v>60</v>
      </c>
      <c r="I526">
        <v>32.4</v>
      </c>
      <c r="J526">
        <v>236</v>
      </c>
      <c r="K526">
        <v>137.28</v>
      </c>
      <c r="L526">
        <v>0</v>
      </c>
      <c r="M526">
        <v>2</v>
      </c>
      <c r="N526">
        <v>1</v>
      </c>
      <c r="O526">
        <v>31</v>
      </c>
      <c r="P526">
        <v>11</v>
      </c>
      <c r="Q526" t="s">
        <v>37</v>
      </c>
      <c r="R526" t="s">
        <v>37</v>
      </c>
      <c r="S526" t="s">
        <v>37</v>
      </c>
      <c r="T526" t="s">
        <v>37</v>
      </c>
      <c r="U526" t="s">
        <v>37</v>
      </c>
      <c r="V526" t="s">
        <v>37</v>
      </c>
      <c r="W526" t="s">
        <v>37</v>
      </c>
      <c r="X526" t="s">
        <v>37</v>
      </c>
      <c r="Y526" t="s">
        <v>37</v>
      </c>
      <c r="Z526" t="s">
        <v>37</v>
      </c>
      <c r="AA526" t="s">
        <v>37</v>
      </c>
      <c r="AB526">
        <v>6</v>
      </c>
      <c r="AC526">
        <v>0</v>
      </c>
      <c r="AD526">
        <f t="shared" ca="1" si="8"/>
        <v>16</v>
      </c>
      <c r="AE526" t="e">
        <f>AVERAGE(Table1[[#This Row],[Runs Conceded]]/Table1[[#This Row],[Wickets Taken]])</f>
        <v>#VALUE!</v>
      </c>
    </row>
    <row r="527" spans="1:31" x14ac:dyDescent="0.3">
      <c r="A527" t="s">
        <v>358</v>
      </c>
      <c r="B527" t="s">
        <v>361</v>
      </c>
      <c r="C527" t="s">
        <v>30</v>
      </c>
      <c r="D527">
        <v>12</v>
      </c>
      <c r="E527">
        <v>11</v>
      </c>
      <c r="F527">
        <v>1</v>
      </c>
      <c r="G527">
        <v>316</v>
      </c>
      <c r="H527" t="s">
        <v>362</v>
      </c>
      <c r="I527">
        <v>31.6</v>
      </c>
      <c r="J527">
        <v>221</v>
      </c>
      <c r="K527">
        <v>142.97999999999999</v>
      </c>
      <c r="L527">
        <v>1</v>
      </c>
      <c r="M527">
        <v>1</v>
      </c>
      <c r="N527">
        <v>0</v>
      </c>
      <c r="O527">
        <v>22</v>
      </c>
      <c r="P527">
        <v>15</v>
      </c>
      <c r="Q527">
        <v>12</v>
      </c>
      <c r="R527">
        <v>44</v>
      </c>
      <c r="S527">
        <v>1</v>
      </c>
      <c r="T527">
        <v>316</v>
      </c>
      <c r="U527">
        <v>12</v>
      </c>
      <c r="V527" s="1">
        <v>43160</v>
      </c>
      <c r="W527">
        <v>26.33</v>
      </c>
      <c r="X527">
        <v>7.18</v>
      </c>
      <c r="Y527">
        <v>22</v>
      </c>
      <c r="Z527">
        <v>0</v>
      </c>
      <c r="AA527">
        <v>0</v>
      </c>
      <c r="AB527">
        <v>5</v>
      </c>
      <c r="AC527">
        <v>0</v>
      </c>
      <c r="AD527">
        <f t="shared" ca="1" si="8"/>
        <v>12</v>
      </c>
      <c r="AE527">
        <f>AVERAGE(Table1[[#This Row],[Runs Conceded]]/Table1[[#This Row],[Wickets Taken]])</f>
        <v>26.333333333333332</v>
      </c>
    </row>
    <row r="528" spans="1:31" x14ac:dyDescent="0.3">
      <c r="A528" t="s">
        <v>358</v>
      </c>
      <c r="B528" t="s">
        <v>363</v>
      </c>
      <c r="C528" t="s">
        <v>30</v>
      </c>
      <c r="D528">
        <v>14</v>
      </c>
      <c r="E528">
        <v>14</v>
      </c>
      <c r="F528">
        <v>0</v>
      </c>
      <c r="G528">
        <v>391</v>
      </c>
      <c r="H528">
        <v>93</v>
      </c>
      <c r="I528">
        <v>27.92</v>
      </c>
      <c r="J528">
        <v>267</v>
      </c>
      <c r="K528">
        <v>146.44</v>
      </c>
      <c r="L528">
        <v>0</v>
      </c>
      <c r="M528">
        <v>2</v>
      </c>
      <c r="N528">
        <v>1</v>
      </c>
      <c r="O528">
        <v>43</v>
      </c>
      <c r="P528">
        <v>17</v>
      </c>
      <c r="Q528">
        <v>1</v>
      </c>
      <c r="R528">
        <v>1</v>
      </c>
      <c r="S528">
        <v>0</v>
      </c>
      <c r="T528">
        <v>12</v>
      </c>
      <c r="U528">
        <v>0</v>
      </c>
      <c r="V528" t="s">
        <v>37</v>
      </c>
      <c r="W528" t="s">
        <v>37</v>
      </c>
      <c r="X528">
        <v>12</v>
      </c>
      <c r="Y528" t="s">
        <v>37</v>
      </c>
      <c r="Z528">
        <v>0</v>
      </c>
      <c r="AA528">
        <v>0</v>
      </c>
      <c r="AB528">
        <v>5</v>
      </c>
      <c r="AC528">
        <v>0</v>
      </c>
      <c r="AD528">
        <f t="shared" ca="1" si="8"/>
        <v>18</v>
      </c>
      <c r="AE528" t="e">
        <f>AVERAGE(Table1[[#This Row],[Runs Conceded]]/Table1[[#This Row],[Wickets Taken]])</f>
        <v>#DIV/0!</v>
      </c>
    </row>
    <row r="529" spans="1:31" x14ac:dyDescent="0.3">
      <c r="A529" t="s">
        <v>358</v>
      </c>
      <c r="B529" t="s">
        <v>84</v>
      </c>
      <c r="C529" t="s">
        <v>30</v>
      </c>
      <c r="D529">
        <v>13</v>
      </c>
      <c r="E529">
        <v>9</v>
      </c>
      <c r="F529">
        <v>4</v>
      </c>
      <c r="G529">
        <v>79</v>
      </c>
      <c r="H529" t="s">
        <v>141</v>
      </c>
      <c r="I529">
        <v>15.8</v>
      </c>
      <c r="J529">
        <v>49</v>
      </c>
      <c r="K529">
        <v>161.22</v>
      </c>
      <c r="L529">
        <v>0</v>
      </c>
      <c r="M529">
        <v>0</v>
      </c>
      <c r="N529">
        <v>0</v>
      </c>
      <c r="O529">
        <v>5</v>
      </c>
      <c r="P529">
        <v>5</v>
      </c>
      <c r="Q529">
        <v>13</v>
      </c>
      <c r="R529">
        <v>40</v>
      </c>
      <c r="S529">
        <v>0</v>
      </c>
      <c r="T529">
        <v>298</v>
      </c>
      <c r="U529">
        <v>11</v>
      </c>
      <c r="V529" s="2">
        <v>44106</v>
      </c>
      <c r="W529">
        <v>27.09</v>
      </c>
      <c r="X529">
        <v>7.45</v>
      </c>
      <c r="Y529">
        <v>21.8</v>
      </c>
      <c r="Z529">
        <v>0</v>
      </c>
      <c r="AA529">
        <v>0</v>
      </c>
      <c r="AB529">
        <v>6</v>
      </c>
      <c r="AC529">
        <v>0</v>
      </c>
      <c r="AD529">
        <f t="shared" ca="1" si="8"/>
        <v>14</v>
      </c>
      <c r="AE529">
        <f>AVERAGE(Table1[[#This Row],[Runs Conceded]]/Table1[[#This Row],[Wickets Taken]])</f>
        <v>27.09090909090909</v>
      </c>
    </row>
    <row r="530" spans="1:31" x14ac:dyDescent="0.3">
      <c r="A530" t="s">
        <v>358</v>
      </c>
      <c r="B530" t="s">
        <v>283</v>
      </c>
      <c r="C530" t="s">
        <v>30</v>
      </c>
      <c r="D530">
        <v>11</v>
      </c>
      <c r="E530">
        <v>5</v>
      </c>
      <c r="F530">
        <v>4</v>
      </c>
      <c r="G530">
        <v>9</v>
      </c>
      <c r="H530" t="s">
        <v>121</v>
      </c>
      <c r="I530">
        <v>9</v>
      </c>
      <c r="J530">
        <v>12</v>
      </c>
      <c r="K530">
        <v>75</v>
      </c>
      <c r="L530">
        <v>0</v>
      </c>
      <c r="M530">
        <v>0</v>
      </c>
      <c r="N530">
        <v>1</v>
      </c>
      <c r="O530">
        <v>0</v>
      </c>
      <c r="P530">
        <v>0</v>
      </c>
      <c r="Q530">
        <v>10</v>
      </c>
      <c r="R530">
        <v>30</v>
      </c>
      <c r="S530">
        <v>0</v>
      </c>
      <c r="T530">
        <v>185</v>
      </c>
      <c r="U530">
        <v>8</v>
      </c>
      <c r="V530" s="1">
        <v>42430</v>
      </c>
      <c r="W530">
        <v>23.12</v>
      </c>
      <c r="X530">
        <v>6.16</v>
      </c>
      <c r="Y530">
        <v>22.5</v>
      </c>
      <c r="Z530">
        <v>0</v>
      </c>
      <c r="AA530">
        <v>0</v>
      </c>
      <c r="AB530">
        <v>5</v>
      </c>
      <c r="AC530">
        <v>0</v>
      </c>
      <c r="AD530">
        <f t="shared" ca="1" si="8"/>
        <v>17</v>
      </c>
      <c r="AE530">
        <f>AVERAGE(Table1[[#This Row],[Runs Conceded]]/Table1[[#This Row],[Wickets Taken]])</f>
        <v>23.125</v>
      </c>
    </row>
    <row r="531" spans="1:31" x14ac:dyDescent="0.3">
      <c r="A531" t="s">
        <v>358</v>
      </c>
      <c r="B531" t="s">
        <v>364</v>
      </c>
      <c r="C531" t="s">
        <v>30</v>
      </c>
      <c r="D531">
        <v>12</v>
      </c>
      <c r="E531">
        <v>3</v>
      </c>
      <c r="F531">
        <v>0</v>
      </c>
      <c r="G531">
        <v>0</v>
      </c>
      <c r="H531">
        <v>0</v>
      </c>
      <c r="I531">
        <v>0</v>
      </c>
      <c r="J531">
        <v>3</v>
      </c>
      <c r="K531">
        <v>0</v>
      </c>
      <c r="L531">
        <v>0</v>
      </c>
      <c r="M531">
        <v>0</v>
      </c>
      <c r="N531">
        <v>3</v>
      </c>
      <c r="O531">
        <v>0</v>
      </c>
      <c r="P531">
        <v>0</v>
      </c>
      <c r="Q531">
        <v>12</v>
      </c>
      <c r="R531">
        <v>38.1</v>
      </c>
      <c r="S531">
        <v>0</v>
      </c>
      <c r="T531">
        <v>315</v>
      </c>
      <c r="U531">
        <v>11</v>
      </c>
      <c r="V531" s="1">
        <v>43525</v>
      </c>
      <c r="W531">
        <v>28.63</v>
      </c>
      <c r="X531">
        <v>8.25</v>
      </c>
      <c r="Y531">
        <v>20.8</v>
      </c>
      <c r="Z531">
        <v>0</v>
      </c>
      <c r="AA531">
        <v>0</v>
      </c>
      <c r="AB531">
        <v>4</v>
      </c>
      <c r="AC531">
        <v>0</v>
      </c>
      <c r="AD531">
        <f t="shared" ca="1" si="8"/>
        <v>14</v>
      </c>
      <c r="AE531">
        <f>AVERAGE(Table1[[#This Row],[Runs Conceded]]/Table1[[#This Row],[Wickets Taken]])</f>
        <v>28.636363636363637</v>
      </c>
    </row>
    <row r="532" spans="1:31" x14ac:dyDescent="0.3">
      <c r="A532" t="s">
        <v>358</v>
      </c>
      <c r="B532" t="s">
        <v>241</v>
      </c>
      <c r="C532" t="s">
        <v>30</v>
      </c>
      <c r="D532">
        <v>3</v>
      </c>
      <c r="E532">
        <v>1</v>
      </c>
      <c r="F532">
        <v>1</v>
      </c>
      <c r="G532">
        <v>3</v>
      </c>
      <c r="H532" t="s">
        <v>235</v>
      </c>
      <c r="I532" t="s">
        <v>37</v>
      </c>
      <c r="J532">
        <v>2</v>
      </c>
      <c r="K532">
        <v>150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2</v>
      </c>
      <c r="R532">
        <v>7</v>
      </c>
      <c r="S532">
        <v>0</v>
      </c>
      <c r="T532">
        <v>58</v>
      </c>
      <c r="U532">
        <v>2</v>
      </c>
      <c r="V532" s="1">
        <v>46023</v>
      </c>
      <c r="W532">
        <v>29</v>
      </c>
      <c r="X532">
        <v>8.2799999999999994</v>
      </c>
      <c r="Y532">
        <v>21</v>
      </c>
      <c r="Z532">
        <v>0</v>
      </c>
      <c r="AA532">
        <v>0</v>
      </c>
      <c r="AB532">
        <v>1</v>
      </c>
      <c r="AC532">
        <v>0</v>
      </c>
      <c r="AD532">
        <f t="shared" ca="1" si="8"/>
        <v>9</v>
      </c>
      <c r="AE532">
        <f>AVERAGE(Table1[[#This Row],[Runs Conceded]]/Table1[[#This Row],[Wickets Taken]])</f>
        <v>29</v>
      </c>
    </row>
    <row r="533" spans="1:31" x14ac:dyDescent="0.3">
      <c r="A533" t="s">
        <v>358</v>
      </c>
      <c r="B533" t="s">
        <v>199</v>
      </c>
      <c r="C533" t="s">
        <v>30</v>
      </c>
      <c r="D533">
        <v>4</v>
      </c>
      <c r="E533">
        <v>1</v>
      </c>
      <c r="F533">
        <v>1</v>
      </c>
      <c r="G533">
        <v>1</v>
      </c>
      <c r="H533" t="s">
        <v>55</v>
      </c>
      <c r="I533" t="s">
        <v>37</v>
      </c>
      <c r="J533">
        <v>1</v>
      </c>
      <c r="K533">
        <v>100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4</v>
      </c>
      <c r="R533">
        <v>13</v>
      </c>
      <c r="S533">
        <v>1</v>
      </c>
      <c r="T533">
        <v>93</v>
      </c>
      <c r="U533">
        <v>3</v>
      </c>
      <c r="V533" s="2">
        <v>44014</v>
      </c>
      <c r="W533">
        <v>31</v>
      </c>
      <c r="X533">
        <v>7.15</v>
      </c>
      <c r="Y533">
        <v>26</v>
      </c>
      <c r="Z533">
        <v>0</v>
      </c>
      <c r="AA533">
        <v>0</v>
      </c>
      <c r="AB533">
        <v>0</v>
      </c>
      <c r="AC533">
        <v>0</v>
      </c>
      <c r="AD533">
        <f t="shared" ca="1" si="8"/>
        <v>13</v>
      </c>
      <c r="AE533">
        <f>AVERAGE(Table1[[#This Row],[Runs Conceded]]/Table1[[#This Row],[Wickets Taken]])</f>
        <v>31</v>
      </c>
    </row>
    <row r="534" spans="1:31" x14ac:dyDescent="0.3">
      <c r="A534" t="s">
        <v>365</v>
      </c>
      <c r="B534" t="s">
        <v>45</v>
      </c>
      <c r="C534" t="s">
        <v>32</v>
      </c>
      <c r="D534">
        <v>10</v>
      </c>
      <c r="E534">
        <v>8</v>
      </c>
      <c r="F534">
        <v>0</v>
      </c>
      <c r="G534">
        <v>108</v>
      </c>
      <c r="H534">
        <v>56</v>
      </c>
      <c r="I534">
        <v>13.5</v>
      </c>
      <c r="J534">
        <v>78</v>
      </c>
      <c r="K534">
        <v>138.46</v>
      </c>
      <c r="L534">
        <v>0</v>
      </c>
      <c r="M534">
        <v>1</v>
      </c>
      <c r="N534">
        <v>1</v>
      </c>
      <c r="O534">
        <v>8</v>
      </c>
      <c r="P534">
        <v>5</v>
      </c>
      <c r="Q534" t="s">
        <v>37</v>
      </c>
      <c r="R534" t="s">
        <v>37</v>
      </c>
      <c r="S534" t="s">
        <v>37</v>
      </c>
      <c r="T534" t="s">
        <v>37</v>
      </c>
      <c r="U534" t="s">
        <v>37</v>
      </c>
      <c r="V534" t="s">
        <v>37</v>
      </c>
      <c r="W534" t="s">
        <v>37</v>
      </c>
      <c r="X534" t="s">
        <v>37</v>
      </c>
      <c r="Y534" t="s">
        <v>37</v>
      </c>
      <c r="Z534" t="s">
        <v>37</v>
      </c>
      <c r="AA534" t="s">
        <v>37</v>
      </c>
      <c r="AB534">
        <v>5</v>
      </c>
      <c r="AC534">
        <v>0</v>
      </c>
      <c r="AD534">
        <f t="shared" ca="1" si="8"/>
        <v>10</v>
      </c>
      <c r="AE534" t="e">
        <f>AVERAGE(Table1[[#This Row],[Runs Conceded]]/Table1[[#This Row],[Wickets Taken]])</f>
        <v>#VALUE!</v>
      </c>
    </row>
    <row r="535" spans="1:31" x14ac:dyDescent="0.3">
      <c r="A535" t="s">
        <v>365</v>
      </c>
      <c r="B535" t="s">
        <v>45</v>
      </c>
      <c r="C535" t="s">
        <v>92</v>
      </c>
      <c r="D535">
        <v>1</v>
      </c>
      <c r="E535">
        <v>1</v>
      </c>
      <c r="F535">
        <v>0</v>
      </c>
      <c r="G535">
        <v>0</v>
      </c>
      <c r="H535">
        <v>0</v>
      </c>
      <c r="I535">
        <v>0</v>
      </c>
      <c r="J535">
        <v>4</v>
      </c>
      <c r="K535">
        <v>0</v>
      </c>
      <c r="L535">
        <v>0</v>
      </c>
      <c r="M535">
        <v>0</v>
      </c>
      <c r="N535">
        <v>1</v>
      </c>
      <c r="O535">
        <v>0</v>
      </c>
      <c r="P535">
        <v>0</v>
      </c>
      <c r="Q535" t="s">
        <v>37</v>
      </c>
      <c r="R535" t="s">
        <v>37</v>
      </c>
      <c r="S535" t="s">
        <v>37</v>
      </c>
      <c r="T535" t="s">
        <v>37</v>
      </c>
      <c r="U535" t="s">
        <v>37</v>
      </c>
      <c r="V535" t="s">
        <v>37</v>
      </c>
      <c r="W535" t="s">
        <v>37</v>
      </c>
      <c r="X535" t="s">
        <v>37</v>
      </c>
      <c r="Y535" t="s">
        <v>37</v>
      </c>
      <c r="Z535" t="s">
        <v>37</v>
      </c>
      <c r="AA535" t="s">
        <v>37</v>
      </c>
      <c r="AB535">
        <v>1</v>
      </c>
      <c r="AC535">
        <v>0</v>
      </c>
      <c r="AD535">
        <f t="shared" ca="1" si="8"/>
        <v>12</v>
      </c>
      <c r="AE535" t="e">
        <f>AVERAGE(Table1[[#This Row],[Runs Conceded]]/Table1[[#This Row],[Wickets Taken]])</f>
        <v>#VALUE!</v>
      </c>
    </row>
    <row r="536" spans="1:31" x14ac:dyDescent="0.3">
      <c r="A536" t="s">
        <v>365</v>
      </c>
      <c r="B536" t="s">
        <v>50</v>
      </c>
      <c r="C536" t="s">
        <v>32</v>
      </c>
      <c r="D536">
        <v>6</v>
      </c>
      <c r="E536">
        <v>1</v>
      </c>
      <c r="F536">
        <v>1</v>
      </c>
      <c r="G536">
        <v>2</v>
      </c>
      <c r="H536" t="s">
        <v>59</v>
      </c>
      <c r="I536" t="s">
        <v>37</v>
      </c>
      <c r="J536">
        <v>2</v>
      </c>
      <c r="K536">
        <v>100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6</v>
      </c>
      <c r="R536">
        <v>20.399999999999999</v>
      </c>
      <c r="S536">
        <v>0</v>
      </c>
      <c r="T536">
        <v>188</v>
      </c>
      <c r="U536">
        <v>6</v>
      </c>
      <c r="V536" s="1">
        <v>12451</v>
      </c>
      <c r="W536">
        <v>31.33</v>
      </c>
      <c r="X536">
        <v>9.09</v>
      </c>
      <c r="Y536">
        <v>20.6</v>
      </c>
      <c r="Z536">
        <v>0</v>
      </c>
      <c r="AA536">
        <v>0</v>
      </c>
      <c r="AB536">
        <v>2</v>
      </c>
      <c r="AC536">
        <v>0</v>
      </c>
      <c r="AD536">
        <f t="shared" ca="1" si="8"/>
        <v>16</v>
      </c>
      <c r="AE536">
        <f>AVERAGE(Table1[[#This Row],[Runs Conceded]]/Table1[[#This Row],[Wickets Taken]])</f>
        <v>31.333333333333332</v>
      </c>
    </row>
    <row r="537" spans="1:31" x14ac:dyDescent="0.3">
      <c r="A537" t="s">
        <v>365</v>
      </c>
      <c r="B537" t="s">
        <v>50</v>
      </c>
      <c r="C537" t="s">
        <v>92</v>
      </c>
      <c r="D537">
        <v>17</v>
      </c>
      <c r="E537">
        <v>1</v>
      </c>
      <c r="F537">
        <v>1</v>
      </c>
      <c r="G537">
        <v>0</v>
      </c>
      <c r="H537" t="s">
        <v>148</v>
      </c>
      <c r="I537" t="s">
        <v>37</v>
      </c>
      <c r="J537">
        <v>0</v>
      </c>
      <c r="K537" t="s">
        <v>37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17</v>
      </c>
      <c r="R537">
        <v>64.2</v>
      </c>
      <c r="S537">
        <v>1</v>
      </c>
      <c r="T537">
        <v>431</v>
      </c>
      <c r="U537">
        <v>26</v>
      </c>
      <c r="V537" s="2">
        <v>44169</v>
      </c>
      <c r="W537">
        <v>16.57</v>
      </c>
      <c r="X537">
        <v>6.69</v>
      </c>
      <c r="Y537">
        <v>14.8</v>
      </c>
      <c r="Z537">
        <v>2</v>
      </c>
      <c r="AA537">
        <v>0</v>
      </c>
      <c r="AB537">
        <v>6</v>
      </c>
      <c r="AC537">
        <v>0</v>
      </c>
      <c r="AD537">
        <f t="shared" ca="1" si="8"/>
        <v>15</v>
      </c>
      <c r="AE537">
        <f>AVERAGE(Table1[[#This Row],[Runs Conceded]]/Table1[[#This Row],[Wickets Taken]])</f>
        <v>16.576923076923077</v>
      </c>
    </row>
    <row r="538" spans="1:31" x14ac:dyDescent="0.3">
      <c r="A538" t="s">
        <v>365</v>
      </c>
      <c r="B538" t="s">
        <v>95</v>
      </c>
      <c r="C538" t="s">
        <v>32</v>
      </c>
      <c r="D538">
        <v>1</v>
      </c>
      <c r="E538">
        <v>1</v>
      </c>
      <c r="F538">
        <v>0</v>
      </c>
      <c r="G538">
        <v>12</v>
      </c>
      <c r="H538">
        <v>12</v>
      </c>
      <c r="I538">
        <v>12</v>
      </c>
      <c r="J538">
        <v>10</v>
      </c>
      <c r="K538">
        <v>120</v>
      </c>
      <c r="L538">
        <v>0</v>
      </c>
      <c r="M538">
        <v>0</v>
      </c>
      <c r="N538">
        <v>0</v>
      </c>
      <c r="O538">
        <v>0</v>
      </c>
      <c r="P538">
        <v>1</v>
      </c>
      <c r="Q538" t="s">
        <v>37</v>
      </c>
      <c r="R538" t="s">
        <v>37</v>
      </c>
      <c r="S538" t="s">
        <v>37</v>
      </c>
      <c r="T538" t="s">
        <v>37</v>
      </c>
      <c r="U538" t="s">
        <v>37</v>
      </c>
      <c r="V538" t="s">
        <v>37</v>
      </c>
      <c r="W538" t="s">
        <v>37</v>
      </c>
      <c r="X538" t="s">
        <v>37</v>
      </c>
      <c r="Y538" t="s">
        <v>37</v>
      </c>
      <c r="Z538" t="s">
        <v>37</v>
      </c>
      <c r="AA538" t="s">
        <v>37</v>
      </c>
      <c r="AB538">
        <v>0</v>
      </c>
      <c r="AC538">
        <v>0</v>
      </c>
      <c r="AD538">
        <f t="shared" ca="1" si="8"/>
        <v>15</v>
      </c>
      <c r="AE538" t="e">
        <f>AVERAGE(Table1[[#This Row],[Runs Conceded]]/Table1[[#This Row],[Wickets Taken]])</f>
        <v>#VALUE!</v>
      </c>
    </row>
    <row r="539" spans="1:31" x14ac:dyDescent="0.3">
      <c r="A539" t="s">
        <v>365</v>
      </c>
      <c r="B539" t="s">
        <v>95</v>
      </c>
      <c r="C539" t="s">
        <v>92</v>
      </c>
      <c r="D539">
        <v>2</v>
      </c>
      <c r="E539">
        <v>2</v>
      </c>
      <c r="F539">
        <v>0</v>
      </c>
      <c r="G539">
        <v>64</v>
      </c>
      <c r="H539">
        <v>38</v>
      </c>
      <c r="I539">
        <v>32</v>
      </c>
      <c r="J539">
        <v>61</v>
      </c>
      <c r="K539">
        <v>104.91</v>
      </c>
      <c r="L539">
        <v>0</v>
      </c>
      <c r="M539">
        <v>0</v>
      </c>
      <c r="N539">
        <v>0</v>
      </c>
      <c r="O539">
        <v>6</v>
      </c>
      <c r="P539">
        <v>1</v>
      </c>
      <c r="Q539" t="s">
        <v>37</v>
      </c>
      <c r="R539" t="s">
        <v>37</v>
      </c>
      <c r="S539" t="s">
        <v>37</v>
      </c>
      <c r="T539" t="s">
        <v>37</v>
      </c>
      <c r="U539" t="s">
        <v>37</v>
      </c>
      <c r="V539" t="s">
        <v>37</v>
      </c>
      <c r="W539" t="s">
        <v>37</v>
      </c>
      <c r="X539" t="s">
        <v>37</v>
      </c>
      <c r="Y539" t="s">
        <v>37</v>
      </c>
      <c r="Z539" t="s">
        <v>37</v>
      </c>
      <c r="AA539" t="s">
        <v>37</v>
      </c>
      <c r="AB539">
        <v>1</v>
      </c>
      <c r="AC539">
        <v>0</v>
      </c>
      <c r="AD539">
        <f t="shared" ca="1" si="8"/>
        <v>4</v>
      </c>
      <c r="AE539" t="e">
        <f>AVERAGE(Table1[[#This Row],[Runs Conceded]]/Table1[[#This Row],[Wickets Taken]])</f>
        <v>#VALUE!</v>
      </c>
    </row>
    <row r="540" spans="1:31" x14ac:dyDescent="0.3">
      <c r="A540" t="s">
        <v>365</v>
      </c>
      <c r="B540" t="s">
        <v>112</v>
      </c>
      <c r="C540" t="s">
        <v>92</v>
      </c>
      <c r="D540">
        <v>1</v>
      </c>
      <c r="E540">
        <v>1</v>
      </c>
      <c r="F540">
        <v>1</v>
      </c>
      <c r="G540">
        <v>0</v>
      </c>
      <c r="H540" t="s">
        <v>148</v>
      </c>
      <c r="I540" t="s">
        <v>37</v>
      </c>
      <c r="J540">
        <v>2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3</v>
      </c>
      <c r="S540">
        <v>0</v>
      </c>
      <c r="T540">
        <v>27</v>
      </c>
      <c r="U540">
        <v>1</v>
      </c>
      <c r="V540" s="1">
        <v>46388</v>
      </c>
      <c r="W540">
        <v>27</v>
      </c>
      <c r="X540">
        <v>9</v>
      </c>
      <c r="Y540">
        <v>18</v>
      </c>
      <c r="Z540">
        <v>0</v>
      </c>
      <c r="AA540">
        <v>0</v>
      </c>
      <c r="AB540">
        <v>0</v>
      </c>
      <c r="AC540">
        <v>0</v>
      </c>
      <c r="AD540">
        <f t="shared" ca="1" si="8"/>
        <v>18</v>
      </c>
      <c r="AE540">
        <f>AVERAGE(Table1[[#This Row],[Runs Conceded]]/Table1[[#This Row],[Wickets Taken]])</f>
        <v>27</v>
      </c>
    </row>
    <row r="541" spans="1:31" x14ac:dyDescent="0.3">
      <c r="A541" t="s">
        <v>365</v>
      </c>
      <c r="B541" t="s">
        <v>216</v>
      </c>
      <c r="C541" t="s">
        <v>32</v>
      </c>
      <c r="D541">
        <v>13</v>
      </c>
      <c r="E541">
        <v>3</v>
      </c>
      <c r="F541">
        <v>0</v>
      </c>
      <c r="G541">
        <v>29</v>
      </c>
      <c r="H541">
        <v>19</v>
      </c>
      <c r="I541">
        <v>9.66</v>
      </c>
      <c r="J541">
        <v>36</v>
      </c>
      <c r="K541">
        <v>80.55</v>
      </c>
      <c r="L541">
        <v>0</v>
      </c>
      <c r="M541">
        <v>0</v>
      </c>
      <c r="N541">
        <v>0</v>
      </c>
      <c r="O541">
        <v>3</v>
      </c>
      <c r="P541">
        <v>1</v>
      </c>
      <c r="Q541">
        <v>12</v>
      </c>
      <c r="R541">
        <v>31.5</v>
      </c>
      <c r="S541">
        <v>0</v>
      </c>
      <c r="T541">
        <v>270</v>
      </c>
      <c r="U541">
        <v>7</v>
      </c>
      <c r="V541" s="1">
        <v>44593</v>
      </c>
      <c r="W541">
        <v>38.57</v>
      </c>
      <c r="X541">
        <v>8.48</v>
      </c>
      <c r="Y541">
        <v>27.2</v>
      </c>
      <c r="Z541">
        <v>0</v>
      </c>
      <c r="AA541">
        <v>0</v>
      </c>
      <c r="AB541">
        <v>4</v>
      </c>
      <c r="AC541">
        <v>0</v>
      </c>
      <c r="AD541">
        <f t="shared" ca="1" si="8"/>
        <v>6</v>
      </c>
      <c r="AE541">
        <f>AVERAGE(Table1[[#This Row],[Runs Conceded]]/Table1[[#This Row],[Wickets Taken]])</f>
        <v>38.571428571428569</v>
      </c>
    </row>
    <row r="542" spans="1:31" x14ac:dyDescent="0.3">
      <c r="A542" t="s">
        <v>365</v>
      </c>
      <c r="B542" t="s">
        <v>216</v>
      </c>
      <c r="C542" t="s">
        <v>92</v>
      </c>
      <c r="D542">
        <v>11</v>
      </c>
      <c r="E542">
        <v>1</v>
      </c>
      <c r="F542">
        <v>0</v>
      </c>
      <c r="G542">
        <v>1</v>
      </c>
      <c r="H542">
        <v>1</v>
      </c>
      <c r="I542">
        <v>1</v>
      </c>
      <c r="J542">
        <v>3</v>
      </c>
      <c r="K542">
        <v>33.33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11</v>
      </c>
      <c r="R542">
        <v>44</v>
      </c>
      <c r="S542">
        <v>1</v>
      </c>
      <c r="T542">
        <v>312</v>
      </c>
      <c r="U542">
        <v>16</v>
      </c>
      <c r="V542" s="1">
        <v>43891</v>
      </c>
      <c r="W542">
        <v>19.5</v>
      </c>
      <c r="X542">
        <v>7.09</v>
      </c>
      <c r="Y542">
        <v>16.5</v>
      </c>
      <c r="Z542">
        <v>0</v>
      </c>
      <c r="AA542">
        <v>0</v>
      </c>
      <c r="AB542">
        <v>4</v>
      </c>
      <c r="AC542">
        <v>0</v>
      </c>
      <c r="AD542">
        <f t="shared" ca="1" si="8"/>
        <v>14</v>
      </c>
      <c r="AE542">
        <f>AVERAGE(Table1[[#This Row],[Runs Conceded]]/Table1[[#This Row],[Wickets Taken]])</f>
        <v>19.5</v>
      </c>
    </row>
    <row r="543" spans="1:31" x14ac:dyDescent="0.3">
      <c r="A543" t="s">
        <v>365</v>
      </c>
      <c r="B543" t="s">
        <v>218</v>
      </c>
      <c r="C543" t="s">
        <v>32</v>
      </c>
      <c r="D543">
        <v>16</v>
      </c>
      <c r="E543">
        <v>16</v>
      </c>
      <c r="F543">
        <v>2</v>
      </c>
      <c r="G543">
        <v>602</v>
      </c>
      <c r="H543" t="s">
        <v>128</v>
      </c>
      <c r="I543">
        <v>43</v>
      </c>
      <c r="J543">
        <v>402</v>
      </c>
      <c r="K543">
        <v>149.75</v>
      </c>
      <c r="L543">
        <v>1</v>
      </c>
      <c r="M543">
        <v>3</v>
      </c>
      <c r="N543">
        <v>1</v>
      </c>
      <c r="O543">
        <v>53</v>
      </c>
      <c r="P543">
        <v>34</v>
      </c>
      <c r="Q543" t="s">
        <v>37</v>
      </c>
      <c r="R543" t="s">
        <v>37</v>
      </c>
      <c r="S543" t="s">
        <v>37</v>
      </c>
      <c r="T543" t="s">
        <v>37</v>
      </c>
      <c r="U543" t="s">
        <v>37</v>
      </c>
      <c r="V543" t="s">
        <v>37</v>
      </c>
      <c r="W543" t="s">
        <v>37</v>
      </c>
      <c r="X543" t="s">
        <v>37</v>
      </c>
      <c r="Y543" t="s">
        <v>37</v>
      </c>
      <c r="Z543" t="s">
        <v>37</v>
      </c>
      <c r="AA543" t="s">
        <v>37</v>
      </c>
      <c r="AB543">
        <v>2</v>
      </c>
      <c r="AC543">
        <v>0</v>
      </c>
      <c r="AD543">
        <f t="shared" ca="1" si="8"/>
        <v>16</v>
      </c>
      <c r="AE543" t="e">
        <f>AVERAGE(Table1[[#This Row],[Runs Conceded]]/Table1[[#This Row],[Wickets Taken]])</f>
        <v>#VALUE!</v>
      </c>
    </row>
    <row r="544" spans="1:31" x14ac:dyDescent="0.3">
      <c r="A544" t="s">
        <v>365</v>
      </c>
      <c r="B544" t="s">
        <v>218</v>
      </c>
      <c r="C544" t="s">
        <v>92</v>
      </c>
      <c r="D544">
        <v>17</v>
      </c>
      <c r="E544">
        <v>17</v>
      </c>
      <c r="F544">
        <v>5</v>
      </c>
      <c r="G544">
        <v>282</v>
      </c>
      <c r="H544">
        <v>57</v>
      </c>
      <c r="I544">
        <v>23.5</v>
      </c>
      <c r="J544">
        <v>303</v>
      </c>
      <c r="K544">
        <v>93.06</v>
      </c>
      <c r="L544">
        <v>0</v>
      </c>
      <c r="M544">
        <v>1</v>
      </c>
      <c r="N544">
        <v>2</v>
      </c>
      <c r="O544">
        <v>20</v>
      </c>
      <c r="P544">
        <v>7</v>
      </c>
      <c r="Q544" t="s">
        <v>37</v>
      </c>
      <c r="R544" t="s">
        <v>37</v>
      </c>
      <c r="S544" t="s">
        <v>37</v>
      </c>
      <c r="T544" t="s">
        <v>37</v>
      </c>
      <c r="U544" t="s">
        <v>37</v>
      </c>
      <c r="V544" t="s">
        <v>37</v>
      </c>
      <c r="W544" t="s">
        <v>37</v>
      </c>
      <c r="X544" t="s">
        <v>37</v>
      </c>
      <c r="Y544" t="s">
        <v>37</v>
      </c>
      <c r="Z544" t="s">
        <v>37</v>
      </c>
      <c r="AA544" t="s">
        <v>37</v>
      </c>
      <c r="AB544">
        <v>6</v>
      </c>
      <c r="AC544">
        <v>0</v>
      </c>
      <c r="AD544">
        <f t="shared" ca="1" si="8"/>
        <v>5</v>
      </c>
      <c r="AE544" t="e">
        <f>AVERAGE(Table1[[#This Row],[Runs Conceded]]/Table1[[#This Row],[Wickets Taken]])</f>
        <v>#VALUE!</v>
      </c>
    </row>
    <row r="545" spans="1:31" x14ac:dyDescent="0.3">
      <c r="A545" t="s">
        <v>365</v>
      </c>
      <c r="B545" t="s">
        <v>262</v>
      </c>
      <c r="C545" t="s">
        <v>32</v>
      </c>
      <c r="D545">
        <v>15</v>
      </c>
      <c r="E545">
        <v>15</v>
      </c>
      <c r="F545">
        <v>1</v>
      </c>
      <c r="G545">
        <v>555</v>
      </c>
      <c r="H545" t="s">
        <v>366</v>
      </c>
      <c r="I545">
        <v>39.64</v>
      </c>
      <c r="J545">
        <v>359</v>
      </c>
      <c r="K545">
        <v>154.59</v>
      </c>
      <c r="L545">
        <v>2</v>
      </c>
      <c r="M545">
        <v>2</v>
      </c>
      <c r="N545">
        <v>1</v>
      </c>
      <c r="O545">
        <v>44</v>
      </c>
      <c r="P545">
        <v>35</v>
      </c>
      <c r="Q545">
        <v>11</v>
      </c>
      <c r="R545">
        <v>28</v>
      </c>
      <c r="S545">
        <v>0</v>
      </c>
      <c r="T545">
        <v>251</v>
      </c>
      <c r="U545">
        <v>6</v>
      </c>
      <c r="V545" s="1">
        <v>47150</v>
      </c>
      <c r="W545">
        <v>41.83</v>
      </c>
      <c r="X545">
        <v>8.9600000000000009</v>
      </c>
      <c r="Y545">
        <v>28</v>
      </c>
      <c r="Z545">
        <v>0</v>
      </c>
      <c r="AA545">
        <v>0</v>
      </c>
      <c r="AB545">
        <v>3</v>
      </c>
      <c r="AC545">
        <v>0</v>
      </c>
      <c r="AD545">
        <f t="shared" ca="1" si="8"/>
        <v>17</v>
      </c>
      <c r="AE545">
        <f>AVERAGE(Table1[[#This Row],[Runs Conceded]]/Table1[[#This Row],[Wickets Taken]])</f>
        <v>41.833333333333336</v>
      </c>
    </row>
    <row r="546" spans="1:31" x14ac:dyDescent="0.3">
      <c r="A546" t="s">
        <v>365</v>
      </c>
      <c r="B546" t="s">
        <v>262</v>
      </c>
      <c r="C546" t="s">
        <v>92</v>
      </c>
      <c r="D546">
        <v>17</v>
      </c>
      <c r="E546">
        <v>17</v>
      </c>
      <c r="F546">
        <v>0</v>
      </c>
      <c r="G546">
        <v>398</v>
      </c>
      <c r="H546">
        <v>96</v>
      </c>
      <c r="I546">
        <v>23.41</v>
      </c>
      <c r="J546">
        <v>312</v>
      </c>
      <c r="K546">
        <v>127.56</v>
      </c>
      <c r="L546">
        <v>0</v>
      </c>
      <c r="M546">
        <v>3</v>
      </c>
      <c r="N546">
        <v>3</v>
      </c>
      <c r="O546">
        <v>42</v>
      </c>
      <c r="P546">
        <v>20</v>
      </c>
      <c r="Q546" t="s">
        <v>37</v>
      </c>
      <c r="R546" t="s">
        <v>37</v>
      </c>
      <c r="S546" t="s">
        <v>37</v>
      </c>
      <c r="T546" t="s">
        <v>37</v>
      </c>
      <c r="U546" t="s">
        <v>37</v>
      </c>
      <c r="V546" t="s">
        <v>37</v>
      </c>
      <c r="W546" t="s">
        <v>37</v>
      </c>
      <c r="X546" t="s">
        <v>37</v>
      </c>
      <c r="Y546" t="s">
        <v>37</v>
      </c>
      <c r="Z546" t="s">
        <v>37</v>
      </c>
      <c r="AA546" t="s">
        <v>37</v>
      </c>
      <c r="AB546">
        <v>6</v>
      </c>
      <c r="AC546">
        <v>0</v>
      </c>
      <c r="AD546">
        <f t="shared" ca="1" si="8"/>
        <v>9</v>
      </c>
      <c r="AE546" t="e">
        <f>AVERAGE(Table1[[#This Row],[Runs Conceded]]/Table1[[#This Row],[Wickets Taken]])</f>
        <v>#VALUE!</v>
      </c>
    </row>
    <row r="547" spans="1:31" x14ac:dyDescent="0.3">
      <c r="A547" t="s">
        <v>365</v>
      </c>
      <c r="B547" t="s">
        <v>265</v>
      </c>
      <c r="C547" t="s">
        <v>32</v>
      </c>
      <c r="D547">
        <v>1</v>
      </c>
      <c r="E547">
        <v>1</v>
      </c>
      <c r="F547">
        <v>1</v>
      </c>
      <c r="G547">
        <v>24</v>
      </c>
      <c r="H547" t="s">
        <v>367</v>
      </c>
      <c r="I547" t="s">
        <v>37</v>
      </c>
      <c r="J547">
        <v>22</v>
      </c>
      <c r="K547">
        <v>109.09</v>
      </c>
      <c r="L547">
        <v>0</v>
      </c>
      <c r="M547">
        <v>0</v>
      </c>
      <c r="N547">
        <v>0</v>
      </c>
      <c r="O547">
        <v>1</v>
      </c>
      <c r="P547">
        <v>2</v>
      </c>
      <c r="Q547" t="s">
        <v>37</v>
      </c>
      <c r="R547" t="s">
        <v>37</v>
      </c>
      <c r="S547" t="s">
        <v>37</v>
      </c>
      <c r="T547" t="s">
        <v>37</v>
      </c>
      <c r="U547" t="s">
        <v>37</v>
      </c>
      <c r="V547" t="s">
        <v>37</v>
      </c>
      <c r="W547" t="s">
        <v>37</v>
      </c>
      <c r="X547" t="s">
        <v>37</v>
      </c>
      <c r="Y547" t="s">
        <v>37</v>
      </c>
      <c r="Z547" t="s">
        <v>37</v>
      </c>
      <c r="AA547" t="s">
        <v>37</v>
      </c>
      <c r="AB547">
        <v>0</v>
      </c>
      <c r="AC547">
        <v>0</v>
      </c>
      <c r="AD547">
        <f t="shared" ca="1" si="8"/>
        <v>3</v>
      </c>
      <c r="AE547" t="e">
        <f>AVERAGE(Table1[[#This Row],[Runs Conceded]]/Table1[[#This Row],[Wickets Taken]])</f>
        <v>#VALUE!</v>
      </c>
    </row>
    <row r="548" spans="1:31" x14ac:dyDescent="0.3">
      <c r="A548" t="s">
        <v>365</v>
      </c>
      <c r="B548" t="s">
        <v>265</v>
      </c>
      <c r="C548" t="s">
        <v>92</v>
      </c>
      <c r="D548">
        <v>14</v>
      </c>
      <c r="E548">
        <v>12</v>
      </c>
      <c r="F548">
        <v>3</v>
      </c>
      <c r="G548">
        <v>162</v>
      </c>
      <c r="H548">
        <v>58</v>
      </c>
      <c r="I548">
        <v>18</v>
      </c>
      <c r="J548">
        <v>169</v>
      </c>
      <c r="K548">
        <v>95.85</v>
      </c>
      <c r="L548">
        <v>0</v>
      </c>
      <c r="M548">
        <v>1</v>
      </c>
      <c r="N548">
        <v>1</v>
      </c>
      <c r="O548">
        <v>19</v>
      </c>
      <c r="P548">
        <v>3</v>
      </c>
      <c r="Q548" t="s">
        <v>37</v>
      </c>
      <c r="R548" t="s">
        <v>37</v>
      </c>
      <c r="S548" t="s">
        <v>37</v>
      </c>
      <c r="T548" t="s">
        <v>37</v>
      </c>
      <c r="U548" t="s">
        <v>37</v>
      </c>
      <c r="V548" t="s">
        <v>37</v>
      </c>
      <c r="W548" t="s">
        <v>37</v>
      </c>
      <c r="X548" t="s">
        <v>37</v>
      </c>
      <c r="Y548" t="s">
        <v>37</v>
      </c>
      <c r="Z548" t="s">
        <v>37</v>
      </c>
      <c r="AA548" t="s">
        <v>37</v>
      </c>
      <c r="AB548">
        <v>4</v>
      </c>
      <c r="AC548">
        <v>0</v>
      </c>
      <c r="AD548">
        <f t="shared" ca="1" si="8"/>
        <v>3</v>
      </c>
      <c r="AE548" t="e">
        <f>AVERAGE(Table1[[#This Row],[Runs Conceded]]/Table1[[#This Row],[Wickets Taken]])</f>
        <v>#VALUE!</v>
      </c>
    </row>
    <row r="549" spans="1:31" x14ac:dyDescent="0.3">
      <c r="A549" t="s">
        <v>365</v>
      </c>
      <c r="B549" t="s">
        <v>234</v>
      </c>
      <c r="C549" t="s">
        <v>32</v>
      </c>
      <c r="D549">
        <v>6</v>
      </c>
      <c r="E549">
        <v>1</v>
      </c>
      <c r="F549">
        <v>1</v>
      </c>
      <c r="G549">
        <v>0</v>
      </c>
      <c r="H549" t="s">
        <v>148</v>
      </c>
      <c r="I549" t="s">
        <v>37</v>
      </c>
      <c r="J549">
        <v>0</v>
      </c>
      <c r="K549" t="s">
        <v>37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</v>
      </c>
      <c r="R549">
        <v>9.3000000000000007</v>
      </c>
      <c r="S549">
        <v>0</v>
      </c>
      <c r="T549">
        <v>89</v>
      </c>
      <c r="U549">
        <v>4</v>
      </c>
      <c r="V549" s="1">
        <v>41306</v>
      </c>
      <c r="W549">
        <v>22.25</v>
      </c>
      <c r="X549">
        <v>9.36</v>
      </c>
      <c r="Y549">
        <v>14.2</v>
      </c>
      <c r="Z549">
        <v>0</v>
      </c>
      <c r="AA549">
        <v>0</v>
      </c>
      <c r="AB549">
        <v>3</v>
      </c>
      <c r="AC549">
        <v>0</v>
      </c>
      <c r="AD549">
        <f t="shared" ca="1" si="8"/>
        <v>9</v>
      </c>
      <c r="AE549">
        <f>AVERAGE(Table1[[#This Row],[Runs Conceded]]/Table1[[#This Row],[Wickets Taken]])</f>
        <v>22.25</v>
      </c>
    </row>
    <row r="550" spans="1:31" x14ac:dyDescent="0.3">
      <c r="A550" t="s">
        <v>365</v>
      </c>
      <c r="B550" t="s">
        <v>234</v>
      </c>
      <c r="C550" t="s">
        <v>92</v>
      </c>
      <c r="D550">
        <v>1</v>
      </c>
      <c r="E550" t="s">
        <v>37</v>
      </c>
      <c r="F550" t="s">
        <v>37</v>
      </c>
      <c r="G550" t="s">
        <v>37</v>
      </c>
      <c r="H550" t="s">
        <v>37</v>
      </c>
      <c r="I550" t="s">
        <v>37</v>
      </c>
      <c r="J550" t="s">
        <v>37</v>
      </c>
      <c r="K550" t="s">
        <v>37</v>
      </c>
      <c r="L550" t="s">
        <v>37</v>
      </c>
      <c r="M550" t="s">
        <v>37</v>
      </c>
      <c r="N550" t="s">
        <v>37</v>
      </c>
      <c r="O550" t="s">
        <v>37</v>
      </c>
      <c r="P550" t="s">
        <v>37</v>
      </c>
      <c r="Q550">
        <v>1</v>
      </c>
      <c r="R550">
        <v>2.5</v>
      </c>
      <c r="S550">
        <v>0</v>
      </c>
      <c r="T550">
        <v>33</v>
      </c>
      <c r="U550">
        <v>1</v>
      </c>
      <c r="V550" s="1">
        <v>12055</v>
      </c>
      <c r="W550">
        <v>33</v>
      </c>
      <c r="X550">
        <v>11.64</v>
      </c>
      <c r="Y550">
        <v>17</v>
      </c>
      <c r="Z550">
        <v>0</v>
      </c>
      <c r="AA550">
        <v>0</v>
      </c>
      <c r="AB550">
        <v>0</v>
      </c>
      <c r="AC550">
        <v>0</v>
      </c>
      <c r="AD550">
        <f t="shared" ca="1" si="8"/>
        <v>5</v>
      </c>
      <c r="AE550">
        <f>AVERAGE(Table1[[#This Row],[Runs Conceded]]/Table1[[#This Row],[Wickets Taken]])</f>
        <v>33</v>
      </c>
    </row>
    <row r="551" spans="1:31" x14ac:dyDescent="0.3">
      <c r="A551" t="s">
        <v>365</v>
      </c>
      <c r="B551" t="s">
        <v>320</v>
      </c>
      <c r="C551" t="s">
        <v>32</v>
      </c>
      <c r="D551">
        <v>15</v>
      </c>
      <c r="E551">
        <v>15</v>
      </c>
      <c r="F551">
        <v>3</v>
      </c>
      <c r="G551">
        <v>445</v>
      </c>
      <c r="H551" t="s">
        <v>260</v>
      </c>
      <c r="I551">
        <v>37.08</v>
      </c>
      <c r="J551">
        <v>336</v>
      </c>
      <c r="K551">
        <v>132.44</v>
      </c>
      <c r="L551">
        <v>0</v>
      </c>
      <c r="M551">
        <v>4</v>
      </c>
      <c r="N551">
        <v>0</v>
      </c>
      <c r="O551">
        <v>46</v>
      </c>
      <c r="P551">
        <v>12</v>
      </c>
      <c r="Q551" t="s">
        <v>37</v>
      </c>
      <c r="R551" t="s">
        <v>37</v>
      </c>
      <c r="S551" t="s">
        <v>37</v>
      </c>
      <c r="T551" t="s">
        <v>37</v>
      </c>
      <c r="U551" t="s">
        <v>37</v>
      </c>
      <c r="V551" t="s">
        <v>37</v>
      </c>
      <c r="W551" t="s">
        <v>37</v>
      </c>
      <c r="X551" t="s">
        <v>37</v>
      </c>
      <c r="Y551" t="s">
        <v>37</v>
      </c>
      <c r="Z551" t="s">
        <v>37</v>
      </c>
      <c r="AA551" t="s">
        <v>37</v>
      </c>
      <c r="AB551">
        <v>9</v>
      </c>
      <c r="AC551">
        <v>0</v>
      </c>
      <c r="AD551">
        <f t="shared" ca="1" si="8"/>
        <v>12</v>
      </c>
      <c r="AE551" t="e">
        <f>AVERAGE(Table1[[#This Row],[Runs Conceded]]/Table1[[#This Row],[Wickets Taken]])</f>
        <v>#VALUE!</v>
      </c>
    </row>
    <row r="552" spans="1:31" x14ac:dyDescent="0.3">
      <c r="A552" t="s">
        <v>365</v>
      </c>
      <c r="B552" t="s">
        <v>320</v>
      </c>
      <c r="C552" t="s">
        <v>92</v>
      </c>
      <c r="D552">
        <v>17</v>
      </c>
      <c r="E552">
        <v>17</v>
      </c>
      <c r="F552">
        <v>1</v>
      </c>
      <c r="G552">
        <v>383</v>
      </c>
      <c r="H552">
        <v>59</v>
      </c>
      <c r="I552">
        <v>23.93</v>
      </c>
      <c r="J552">
        <v>314</v>
      </c>
      <c r="K552">
        <v>121.97</v>
      </c>
      <c r="L552">
        <v>0</v>
      </c>
      <c r="M552">
        <v>3</v>
      </c>
      <c r="N552">
        <v>1</v>
      </c>
      <c r="O552">
        <v>45</v>
      </c>
      <c r="P552">
        <v>9</v>
      </c>
      <c r="Q552">
        <v>1</v>
      </c>
      <c r="R552">
        <v>1</v>
      </c>
      <c r="S552">
        <v>0</v>
      </c>
      <c r="T552">
        <v>6</v>
      </c>
      <c r="U552">
        <v>0</v>
      </c>
      <c r="V552" t="s">
        <v>37</v>
      </c>
      <c r="W552" t="s">
        <v>37</v>
      </c>
      <c r="X552">
        <v>6</v>
      </c>
      <c r="Y552" t="s">
        <v>37</v>
      </c>
      <c r="Z552">
        <v>0</v>
      </c>
      <c r="AA552">
        <v>0</v>
      </c>
      <c r="AB552">
        <v>7</v>
      </c>
      <c r="AC552">
        <v>0</v>
      </c>
      <c r="AD552">
        <f t="shared" ca="1" si="8"/>
        <v>12</v>
      </c>
      <c r="AE552" t="e">
        <f>AVERAGE(Table1[[#This Row],[Runs Conceded]]/Table1[[#This Row],[Wickets Taken]])</f>
        <v>#DIV/0!</v>
      </c>
    </row>
    <row r="553" spans="1:31" x14ac:dyDescent="0.3">
      <c r="A553" t="s">
        <v>365</v>
      </c>
      <c r="B553" t="s">
        <v>322</v>
      </c>
      <c r="C553" t="s">
        <v>32</v>
      </c>
      <c r="D553">
        <v>16</v>
      </c>
      <c r="E553">
        <v>10</v>
      </c>
      <c r="F553">
        <v>5</v>
      </c>
      <c r="G553">
        <v>89</v>
      </c>
      <c r="H553" t="s">
        <v>33</v>
      </c>
      <c r="I553">
        <v>17.8</v>
      </c>
      <c r="J553">
        <v>74</v>
      </c>
      <c r="K553">
        <v>120.27</v>
      </c>
      <c r="L553">
        <v>0</v>
      </c>
      <c r="M553">
        <v>0</v>
      </c>
      <c r="N553">
        <v>0</v>
      </c>
      <c r="O553">
        <v>3</v>
      </c>
      <c r="P553">
        <v>4</v>
      </c>
      <c r="Q553">
        <v>14</v>
      </c>
      <c r="R553">
        <v>41</v>
      </c>
      <c r="S553">
        <v>0</v>
      </c>
      <c r="T553">
        <v>303</v>
      </c>
      <c r="U553">
        <v>11</v>
      </c>
      <c r="V553" s="1">
        <v>43160</v>
      </c>
      <c r="W553">
        <v>27.54</v>
      </c>
      <c r="X553">
        <v>7.39</v>
      </c>
      <c r="Y553">
        <v>22.3</v>
      </c>
      <c r="Z553">
        <v>0</v>
      </c>
      <c r="AA553">
        <v>0</v>
      </c>
      <c r="AB553">
        <v>11</v>
      </c>
      <c r="AC553">
        <v>0</v>
      </c>
      <c r="AD553">
        <f t="shared" ca="1" si="8"/>
        <v>12</v>
      </c>
      <c r="AE553">
        <f>AVERAGE(Table1[[#This Row],[Runs Conceded]]/Table1[[#This Row],[Wickets Taken]])</f>
        <v>27.545454545454547</v>
      </c>
    </row>
    <row r="554" spans="1:31" x14ac:dyDescent="0.3">
      <c r="A554" t="s">
        <v>365</v>
      </c>
      <c r="B554" t="s">
        <v>322</v>
      </c>
      <c r="C554" t="s">
        <v>92</v>
      </c>
      <c r="D554">
        <v>16</v>
      </c>
      <c r="E554">
        <v>9</v>
      </c>
      <c r="F554">
        <v>6</v>
      </c>
      <c r="G554">
        <v>106</v>
      </c>
      <c r="H554" t="s">
        <v>301</v>
      </c>
      <c r="I554">
        <v>35.33</v>
      </c>
      <c r="J554">
        <v>88</v>
      </c>
      <c r="K554">
        <v>120.45</v>
      </c>
      <c r="L554">
        <v>0</v>
      </c>
      <c r="M554">
        <v>0</v>
      </c>
      <c r="N554">
        <v>0</v>
      </c>
      <c r="O554">
        <v>7</v>
      </c>
      <c r="P554">
        <v>4</v>
      </c>
      <c r="Q554">
        <v>16</v>
      </c>
      <c r="R554">
        <v>54</v>
      </c>
      <c r="S554">
        <v>1</v>
      </c>
      <c r="T554">
        <v>343</v>
      </c>
      <c r="U554">
        <v>15</v>
      </c>
      <c r="V554" s="2">
        <v>44077</v>
      </c>
      <c r="W554">
        <v>22.86</v>
      </c>
      <c r="X554">
        <v>6.35</v>
      </c>
      <c r="Y554">
        <v>21.6</v>
      </c>
      <c r="Z554">
        <v>0</v>
      </c>
      <c r="AA554">
        <v>0</v>
      </c>
      <c r="AB554">
        <v>9</v>
      </c>
      <c r="AC554">
        <v>0</v>
      </c>
      <c r="AD554">
        <f t="shared" ca="1" si="8"/>
        <v>3</v>
      </c>
      <c r="AE554">
        <f>AVERAGE(Table1[[#This Row],[Runs Conceded]]/Table1[[#This Row],[Wickets Taken]])</f>
        <v>22.866666666666667</v>
      </c>
    </row>
    <row r="555" spans="1:31" x14ac:dyDescent="0.3">
      <c r="A555" t="s">
        <v>365</v>
      </c>
      <c r="B555" t="s">
        <v>324</v>
      </c>
      <c r="C555" t="s">
        <v>32</v>
      </c>
      <c r="D555">
        <v>16</v>
      </c>
      <c r="E555">
        <v>10</v>
      </c>
      <c r="F555">
        <v>6</v>
      </c>
      <c r="G555">
        <v>141</v>
      </c>
      <c r="H555">
        <v>68</v>
      </c>
      <c r="I555">
        <v>35.25</v>
      </c>
      <c r="J555">
        <v>91</v>
      </c>
      <c r="K555">
        <v>154.94</v>
      </c>
      <c r="L555">
        <v>0</v>
      </c>
      <c r="M555">
        <v>1</v>
      </c>
      <c r="N555">
        <v>1</v>
      </c>
      <c r="O555">
        <v>8</v>
      </c>
      <c r="P555">
        <v>10</v>
      </c>
      <c r="Q555">
        <v>16</v>
      </c>
      <c r="R555">
        <v>53.3</v>
      </c>
      <c r="S555">
        <v>1</v>
      </c>
      <c r="T555">
        <v>533</v>
      </c>
      <c r="U555">
        <v>14</v>
      </c>
      <c r="V555" s="1">
        <v>42401</v>
      </c>
      <c r="W555">
        <v>38.07</v>
      </c>
      <c r="X555">
        <v>9.9600000000000009</v>
      </c>
      <c r="Y555">
        <v>22.9</v>
      </c>
      <c r="Z555">
        <v>0</v>
      </c>
      <c r="AA555">
        <v>0</v>
      </c>
      <c r="AB555">
        <v>9</v>
      </c>
      <c r="AC555">
        <v>0</v>
      </c>
      <c r="AD555">
        <f t="shared" ca="1" si="8"/>
        <v>5</v>
      </c>
      <c r="AE555">
        <f>AVERAGE(Table1[[#This Row],[Runs Conceded]]/Table1[[#This Row],[Wickets Taken]])</f>
        <v>38.071428571428569</v>
      </c>
    </row>
    <row r="556" spans="1:31" x14ac:dyDescent="0.3">
      <c r="A556" t="s">
        <v>365</v>
      </c>
      <c r="B556" t="s">
        <v>324</v>
      </c>
      <c r="C556" t="s">
        <v>92</v>
      </c>
      <c r="D556">
        <v>12</v>
      </c>
      <c r="E556">
        <v>9</v>
      </c>
      <c r="F556">
        <v>4</v>
      </c>
      <c r="G556">
        <v>80</v>
      </c>
      <c r="H556">
        <v>27</v>
      </c>
      <c r="I556">
        <v>16</v>
      </c>
      <c r="J556">
        <v>66</v>
      </c>
      <c r="K556">
        <v>121.21</v>
      </c>
      <c r="L556">
        <v>0</v>
      </c>
      <c r="M556">
        <v>0</v>
      </c>
      <c r="N556">
        <v>0</v>
      </c>
      <c r="O556">
        <v>6</v>
      </c>
      <c r="P556">
        <v>3</v>
      </c>
      <c r="Q556">
        <v>12</v>
      </c>
      <c r="R556">
        <v>41.1</v>
      </c>
      <c r="S556">
        <v>0</v>
      </c>
      <c r="T556">
        <v>330</v>
      </c>
      <c r="U556">
        <v>11</v>
      </c>
      <c r="V556" s="1">
        <v>12114</v>
      </c>
      <c r="W556">
        <v>30</v>
      </c>
      <c r="X556">
        <v>8.01</v>
      </c>
      <c r="Y556">
        <v>22.4</v>
      </c>
      <c r="Z556">
        <v>0</v>
      </c>
      <c r="AA556">
        <v>0</v>
      </c>
      <c r="AB556">
        <v>5</v>
      </c>
      <c r="AC556">
        <v>0</v>
      </c>
      <c r="AD556">
        <f t="shared" ca="1" si="8"/>
        <v>6</v>
      </c>
      <c r="AE556">
        <f>AVERAGE(Table1[[#This Row],[Runs Conceded]]/Table1[[#This Row],[Wickets Taken]])</f>
        <v>30</v>
      </c>
    </row>
    <row r="557" spans="1:31" x14ac:dyDescent="0.3">
      <c r="A557" t="s">
        <v>365</v>
      </c>
      <c r="B557" t="s">
        <v>341</v>
      </c>
      <c r="C557" t="s">
        <v>32</v>
      </c>
      <c r="D557">
        <v>16</v>
      </c>
      <c r="E557">
        <v>15</v>
      </c>
      <c r="F557">
        <v>9</v>
      </c>
      <c r="G557">
        <v>455</v>
      </c>
      <c r="H557" t="s">
        <v>368</v>
      </c>
      <c r="I557">
        <v>75.83</v>
      </c>
      <c r="J557">
        <v>302</v>
      </c>
      <c r="K557">
        <v>150.66</v>
      </c>
      <c r="L557">
        <v>0</v>
      </c>
      <c r="M557">
        <v>3</v>
      </c>
      <c r="N557">
        <v>0</v>
      </c>
      <c r="O557">
        <v>24</v>
      </c>
      <c r="P557">
        <v>30</v>
      </c>
      <c r="Q557" t="s">
        <v>37</v>
      </c>
      <c r="R557" t="s">
        <v>37</v>
      </c>
      <c r="S557" t="s">
        <v>37</v>
      </c>
      <c r="T557" t="s">
        <v>37</v>
      </c>
      <c r="U557" t="s">
        <v>37</v>
      </c>
      <c r="V557" t="s">
        <v>37</v>
      </c>
      <c r="W557" t="s">
        <v>37</v>
      </c>
      <c r="X557" t="s">
        <v>37</v>
      </c>
      <c r="Y557" t="s">
        <v>37</v>
      </c>
      <c r="Z557" t="s">
        <v>37</v>
      </c>
      <c r="AA557" t="s">
        <v>37</v>
      </c>
      <c r="AB557">
        <v>11</v>
      </c>
      <c r="AC557">
        <v>3</v>
      </c>
      <c r="AD557">
        <f t="shared" ca="1" si="8"/>
        <v>18</v>
      </c>
      <c r="AE557" t="e">
        <f>AVERAGE(Table1[[#This Row],[Runs Conceded]]/Table1[[#This Row],[Wickets Taken]])</f>
        <v>#VALUE!</v>
      </c>
    </row>
    <row r="558" spans="1:31" x14ac:dyDescent="0.3">
      <c r="A558" t="s">
        <v>365</v>
      </c>
      <c r="B558" t="s">
        <v>341</v>
      </c>
      <c r="C558" t="s">
        <v>92</v>
      </c>
      <c r="D558">
        <v>15</v>
      </c>
      <c r="E558">
        <v>12</v>
      </c>
      <c r="F558">
        <v>7</v>
      </c>
      <c r="G558">
        <v>416</v>
      </c>
      <c r="H558" t="s">
        <v>359</v>
      </c>
      <c r="I558">
        <v>83.2</v>
      </c>
      <c r="J558">
        <v>309</v>
      </c>
      <c r="K558">
        <v>134.62</v>
      </c>
      <c r="L558">
        <v>0</v>
      </c>
      <c r="M558">
        <v>3</v>
      </c>
      <c r="N558">
        <v>0</v>
      </c>
      <c r="O558">
        <v>22</v>
      </c>
      <c r="P558">
        <v>23</v>
      </c>
      <c r="Q558" t="s">
        <v>37</v>
      </c>
      <c r="R558" t="s">
        <v>37</v>
      </c>
      <c r="S558" t="s">
        <v>37</v>
      </c>
      <c r="T558" t="s">
        <v>37</v>
      </c>
      <c r="U558" t="s">
        <v>37</v>
      </c>
      <c r="V558" t="s">
        <v>37</v>
      </c>
      <c r="W558" t="s">
        <v>37</v>
      </c>
      <c r="X558" t="s">
        <v>37</v>
      </c>
      <c r="Y558" t="s">
        <v>37</v>
      </c>
      <c r="Z558" t="s">
        <v>37</v>
      </c>
      <c r="AA558" t="s">
        <v>37</v>
      </c>
      <c r="AB558">
        <v>11</v>
      </c>
      <c r="AC558">
        <v>5</v>
      </c>
      <c r="AD558">
        <f t="shared" ca="1" si="8"/>
        <v>15</v>
      </c>
      <c r="AE558" t="e">
        <f>AVERAGE(Table1[[#This Row],[Runs Conceded]]/Table1[[#This Row],[Wickets Taken]])</f>
        <v>#VALUE!</v>
      </c>
    </row>
    <row r="559" spans="1:31" x14ac:dyDescent="0.3">
      <c r="A559" t="s">
        <v>365</v>
      </c>
      <c r="B559" t="s">
        <v>344</v>
      </c>
      <c r="C559" t="s">
        <v>32</v>
      </c>
      <c r="D559">
        <v>6</v>
      </c>
      <c r="E559">
        <v>6</v>
      </c>
      <c r="F559">
        <v>1</v>
      </c>
      <c r="G559">
        <v>162</v>
      </c>
      <c r="H559" t="s">
        <v>173</v>
      </c>
      <c r="I559">
        <v>32.4</v>
      </c>
      <c r="J559">
        <v>129</v>
      </c>
      <c r="K559">
        <v>125.58</v>
      </c>
      <c r="L559">
        <v>0</v>
      </c>
      <c r="M559">
        <v>1</v>
      </c>
      <c r="N559">
        <v>0</v>
      </c>
      <c r="O559">
        <v>17</v>
      </c>
      <c r="P559">
        <v>6</v>
      </c>
      <c r="Q559" t="s">
        <v>37</v>
      </c>
      <c r="R559" t="s">
        <v>37</v>
      </c>
      <c r="S559" t="s">
        <v>37</v>
      </c>
      <c r="T559" t="s">
        <v>37</v>
      </c>
      <c r="U559" t="s">
        <v>37</v>
      </c>
      <c r="V559" t="s">
        <v>37</v>
      </c>
      <c r="W559" t="s">
        <v>37</v>
      </c>
      <c r="X559" t="s">
        <v>37</v>
      </c>
      <c r="Y559" t="s">
        <v>37</v>
      </c>
      <c r="Z559" t="s">
        <v>37</v>
      </c>
      <c r="AA559" t="s">
        <v>37</v>
      </c>
      <c r="AB559">
        <v>1</v>
      </c>
      <c r="AC559">
        <v>0</v>
      </c>
      <c r="AD559">
        <f t="shared" ca="1" si="8"/>
        <v>10</v>
      </c>
      <c r="AE559" t="e">
        <f>AVERAGE(Table1[[#This Row],[Runs Conceded]]/Table1[[#This Row],[Wickets Taken]])</f>
        <v>#VALUE!</v>
      </c>
    </row>
    <row r="560" spans="1:31" x14ac:dyDescent="0.3">
      <c r="A560" t="s">
        <v>365</v>
      </c>
      <c r="B560" t="s">
        <v>344</v>
      </c>
      <c r="C560" t="s">
        <v>92</v>
      </c>
      <c r="D560">
        <v>12</v>
      </c>
      <c r="E560">
        <v>12</v>
      </c>
      <c r="F560">
        <v>1</v>
      </c>
      <c r="G560">
        <v>396</v>
      </c>
      <c r="H560">
        <v>96</v>
      </c>
      <c r="I560">
        <v>36</v>
      </c>
      <c r="J560">
        <v>321</v>
      </c>
      <c r="K560">
        <v>123.36</v>
      </c>
      <c r="L560">
        <v>0</v>
      </c>
      <c r="M560">
        <v>3</v>
      </c>
      <c r="N560">
        <v>0</v>
      </c>
      <c r="O560">
        <v>36</v>
      </c>
      <c r="P560">
        <v>15</v>
      </c>
      <c r="Q560" t="s">
        <v>37</v>
      </c>
      <c r="R560" t="s">
        <v>37</v>
      </c>
      <c r="S560" t="s">
        <v>37</v>
      </c>
      <c r="T560" t="s">
        <v>37</v>
      </c>
      <c r="U560" t="s">
        <v>37</v>
      </c>
      <c r="V560" t="s">
        <v>37</v>
      </c>
      <c r="W560" t="s">
        <v>37</v>
      </c>
      <c r="X560" t="s">
        <v>37</v>
      </c>
      <c r="Y560" t="s">
        <v>37</v>
      </c>
      <c r="Z560" t="s">
        <v>37</v>
      </c>
      <c r="AA560" t="s">
        <v>37</v>
      </c>
      <c r="AB560">
        <v>12</v>
      </c>
      <c r="AC560">
        <v>0</v>
      </c>
      <c r="AD560">
        <f t="shared" ca="1" si="8"/>
        <v>4</v>
      </c>
      <c r="AE560" t="e">
        <f>AVERAGE(Table1[[#This Row],[Runs Conceded]]/Table1[[#This Row],[Wickets Taken]])</f>
        <v>#VALUE!</v>
      </c>
    </row>
    <row r="561" spans="1:31" x14ac:dyDescent="0.3">
      <c r="A561" t="s">
        <v>365</v>
      </c>
      <c r="B561" t="s">
        <v>355</v>
      </c>
      <c r="C561" t="s">
        <v>32</v>
      </c>
      <c r="D561">
        <v>12</v>
      </c>
      <c r="E561">
        <v>4</v>
      </c>
      <c r="F561">
        <v>1</v>
      </c>
      <c r="G561">
        <v>50</v>
      </c>
      <c r="H561">
        <v>39</v>
      </c>
      <c r="I561">
        <v>16.66</v>
      </c>
      <c r="J561">
        <v>29</v>
      </c>
      <c r="K561">
        <v>172.41</v>
      </c>
      <c r="L561">
        <v>0</v>
      </c>
      <c r="M561">
        <v>0</v>
      </c>
      <c r="N561">
        <v>1</v>
      </c>
      <c r="O561">
        <v>1</v>
      </c>
      <c r="P561">
        <v>4</v>
      </c>
      <c r="Q561">
        <v>12</v>
      </c>
      <c r="R561">
        <v>38.1</v>
      </c>
      <c r="S561">
        <v>1</v>
      </c>
      <c r="T561">
        <v>278</v>
      </c>
      <c r="U561">
        <v>10</v>
      </c>
      <c r="V561" s="1">
        <v>42064</v>
      </c>
      <c r="W561">
        <v>27.8</v>
      </c>
      <c r="X561">
        <v>7.28</v>
      </c>
      <c r="Y561">
        <v>22.9</v>
      </c>
      <c r="Z561">
        <v>0</v>
      </c>
      <c r="AA561">
        <v>0</v>
      </c>
      <c r="AB561">
        <v>1</v>
      </c>
      <c r="AC561">
        <v>0</v>
      </c>
      <c r="AD561">
        <f t="shared" ca="1" si="8"/>
        <v>10</v>
      </c>
      <c r="AE561">
        <f>AVERAGE(Table1[[#This Row],[Runs Conceded]]/Table1[[#This Row],[Wickets Taken]])</f>
        <v>27.8</v>
      </c>
    </row>
    <row r="562" spans="1:31" x14ac:dyDescent="0.3">
      <c r="A562" t="s">
        <v>365</v>
      </c>
      <c r="B562" t="s">
        <v>355</v>
      </c>
      <c r="C562" t="s">
        <v>92</v>
      </c>
      <c r="D562">
        <v>17</v>
      </c>
      <c r="E562">
        <v>2</v>
      </c>
      <c r="F562">
        <v>0</v>
      </c>
      <c r="G562">
        <v>7</v>
      </c>
      <c r="H562">
        <v>7</v>
      </c>
      <c r="I562">
        <v>3.5</v>
      </c>
      <c r="J562">
        <v>9</v>
      </c>
      <c r="K562">
        <v>77.77</v>
      </c>
      <c r="L562">
        <v>0</v>
      </c>
      <c r="M562">
        <v>0</v>
      </c>
      <c r="N562">
        <v>1</v>
      </c>
      <c r="O562">
        <v>1</v>
      </c>
      <c r="P562">
        <v>0</v>
      </c>
      <c r="Q562">
        <v>17</v>
      </c>
      <c r="R562">
        <v>64.3</v>
      </c>
      <c r="S562">
        <v>2</v>
      </c>
      <c r="T562">
        <v>482</v>
      </c>
      <c r="U562">
        <v>22</v>
      </c>
      <c r="V562" s="1">
        <v>43891</v>
      </c>
      <c r="W562">
        <v>21.9</v>
      </c>
      <c r="X562">
        <v>7.47</v>
      </c>
      <c r="Y562">
        <v>17.5</v>
      </c>
      <c r="Z562">
        <v>0</v>
      </c>
      <c r="AA562">
        <v>0</v>
      </c>
      <c r="AB562">
        <v>2</v>
      </c>
      <c r="AC562">
        <v>0</v>
      </c>
      <c r="AD562">
        <f t="shared" ca="1" si="8"/>
        <v>18</v>
      </c>
      <c r="AE562">
        <f>AVERAGE(Table1[[#This Row],[Runs Conceded]]/Table1[[#This Row],[Wickets Taken]])</f>
        <v>21.90909090909091</v>
      </c>
    </row>
    <row r="563" spans="1:31" x14ac:dyDescent="0.3">
      <c r="A563" t="s">
        <v>365</v>
      </c>
      <c r="B563" t="s">
        <v>364</v>
      </c>
      <c r="C563" t="s">
        <v>32</v>
      </c>
      <c r="D563">
        <v>13</v>
      </c>
      <c r="E563">
        <v>1</v>
      </c>
      <c r="F563">
        <v>1</v>
      </c>
      <c r="G563">
        <v>15</v>
      </c>
      <c r="H563" t="s">
        <v>144</v>
      </c>
      <c r="I563" t="s">
        <v>37</v>
      </c>
      <c r="J563">
        <v>5</v>
      </c>
      <c r="K563">
        <v>300</v>
      </c>
      <c r="L563">
        <v>0</v>
      </c>
      <c r="M563">
        <v>0</v>
      </c>
      <c r="N563">
        <v>0</v>
      </c>
      <c r="O563">
        <v>3</v>
      </c>
      <c r="P563">
        <v>0</v>
      </c>
      <c r="Q563">
        <v>13</v>
      </c>
      <c r="R563">
        <v>46.4</v>
      </c>
      <c r="S563">
        <v>1</v>
      </c>
      <c r="T563">
        <v>431</v>
      </c>
      <c r="U563">
        <v>16</v>
      </c>
      <c r="V563" s="1">
        <v>43132</v>
      </c>
      <c r="W563">
        <v>26.93</v>
      </c>
      <c r="X563">
        <v>9.23</v>
      </c>
      <c r="Y563">
        <v>17.5</v>
      </c>
      <c r="Z563">
        <v>0</v>
      </c>
      <c r="AA563">
        <v>0</v>
      </c>
      <c r="AB563">
        <v>4</v>
      </c>
      <c r="AC563">
        <v>0</v>
      </c>
      <c r="AD563">
        <f t="shared" ca="1" si="8"/>
        <v>7</v>
      </c>
      <c r="AE563">
        <f>AVERAGE(Table1[[#This Row],[Runs Conceded]]/Table1[[#This Row],[Wickets Taken]])</f>
        <v>26.9375</v>
      </c>
    </row>
    <row r="564" spans="1:31" x14ac:dyDescent="0.3">
      <c r="A564" t="s">
        <v>365</v>
      </c>
      <c r="B564" t="s">
        <v>364</v>
      </c>
      <c r="C564" t="s">
        <v>92</v>
      </c>
      <c r="D564">
        <v>10</v>
      </c>
      <c r="E564">
        <v>3</v>
      </c>
      <c r="F564">
        <v>1</v>
      </c>
      <c r="G564">
        <v>14</v>
      </c>
      <c r="H564" t="s">
        <v>77</v>
      </c>
      <c r="I564">
        <v>7</v>
      </c>
      <c r="J564">
        <v>7</v>
      </c>
      <c r="K564">
        <v>200</v>
      </c>
      <c r="L564">
        <v>0</v>
      </c>
      <c r="M564">
        <v>0</v>
      </c>
      <c r="N564">
        <v>1</v>
      </c>
      <c r="O564">
        <v>1</v>
      </c>
      <c r="P564">
        <v>1</v>
      </c>
      <c r="Q564">
        <v>9</v>
      </c>
      <c r="R564">
        <v>30</v>
      </c>
      <c r="S564">
        <v>0</v>
      </c>
      <c r="T564">
        <v>281</v>
      </c>
      <c r="U564">
        <v>8</v>
      </c>
      <c r="V564" s="1">
        <v>43132</v>
      </c>
      <c r="W564">
        <v>35.119999999999997</v>
      </c>
      <c r="X564">
        <v>9.36</v>
      </c>
      <c r="Y564">
        <v>22.5</v>
      </c>
      <c r="Z564">
        <v>0</v>
      </c>
      <c r="AA564">
        <v>0</v>
      </c>
      <c r="AB564">
        <v>5</v>
      </c>
      <c r="AC564">
        <v>0</v>
      </c>
      <c r="AD564">
        <f t="shared" ca="1" si="8"/>
        <v>4</v>
      </c>
      <c r="AE564">
        <f>AVERAGE(Table1[[#This Row],[Runs Conceded]]/Table1[[#This Row],[Wickets Taken]])</f>
        <v>35.125</v>
      </c>
    </row>
    <row r="565" spans="1:31" x14ac:dyDescent="0.3">
      <c r="A565" t="s">
        <v>365</v>
      </c>
      <c r="B565" t="s">
        <v>369</v>
      </c>
      <c r="C565" t="s">
        <v>32</v>
      </c>
      <c r="D565">
        <v>1</v>
      </c>
      <c r="E565">
        <v>1</v>
      </c>
      <c r="F565">
        <v>0</v>
      </c>
      <c r="G565">
        <v>8</v>
      </c>
      <c r="H565">
        <v>8</v>
      </c>
      <c r="I565">
        <v>8</v>
      </c>
      <c r="J565">
        <v>9</v>
      </c>
      <c r="K565">
        <v>88.88</v>
      </c>
      <c r="L565">
        <v>0</v>
      </c>
      <c r="M565">
        <v>0</v>
      </c>
      <c r="N565">
        <v>0</v>
      </c>
      <c r="O565">
        <v>0</v>
      </c>
      <c r="P565">
        <v>1</v>
      </c>
      <c r="Q565" t="s">
        <v>37</v>
      </c>
      <c r="R565" t="s">
        <v>37</v>
      </c>
      <c r="S565" t="s">
        <v>37</v>
      </c>
      <c r="T565" t="s">
        <v>37</v>
      </c>
      <c r="U565" t="s">
        <v>37</v>
      </c>
      <c r="V565" t="s">
        <v>37</v>
      </c>
      <c r="W565" t="s">
        <v>37</v>
      </c>
      <c r="X565" t="s">
        <v>37</v>
      </c>
      <c r="Y565" t="s">
        <v>37</v>
      </c>
      <c r="Z565" t="s">
        <v>37</v>
      </c>
      <c r="AA565" t="s">
        <v>37</v>
      </c>
      <c r="AB565">
        <v>0</v>
      </c>
      <c r="AC565">
        <v>0</v>
      </c>
      <c r="AD565">
        <f t="shared" ca="1" si="8"/>
        <v>12</v>
      </c>
      <c r="AE565" t="e">
        <f>AVERAGE(Table1[[#This Row],[Runs Conceded]]/Table1[[#This Row],[Wickets Taken]])</f>
        <v>#VALUE!</v>
      </c>
    </row>
    <row r="566" spans="1:31" x14ac:dyDescent="0.3">
      <c r="A566" t="s">
        <v>365</v>
      </c>
      <c r="B566" t="s">
        <v>369</v>
      </c>
      <c r="C566" t="s">
        <v>92</v>
      </c>
      <c r="D566">
        <v>1</v>
      </c>
      <c r="E566">
        <v>1</v>
      </c>
      <c r="F566">
        <v>0</v>
      </c>
      <c r="G566">
        <v>5</v>
      </c>
      <c r="H566">
        <v>5</v>
      </c>
      <c r="I566">
        <v>5</v>
      </c>
      <c r="J566">
        <v>8</v>
      </c>
      <c r="K566">
        <v>62.5</v>
      </c>
      <c r="L566">
        <v>0</v>
      </c>
      <c r="M566">
        <v>0</v>
      </c>
      <c r="N566">
        <v>0</v>
      </c>
      <c r="O566">
        <v>0</v>
      </c>
      <c r="P566">
        <v>0</v>
      </c>
      <c r="Q566" t="s">
        <v>37</v>
      </c>
      <c r="R566" t="s">
        <v>37</v>
      </c>
      <c r="S566" t="s">
        <v>37</v>
      </c>
      <c r="T566" t="s">
        <v>37</v>
      </c>
      <c r="U566" t="s">
        <v>37</v>
      </c>
      <c r="V566" t="s">
        <v>37</v>
      </c>
      <c r="W566" t="s">
        <v>37</v>
      </c>
      <c r="X566" t="s">
        <v>37</v>
      </c>
      <c r="Y566" t="s">
        <v>37</v>
      </c>
      <c r="Z566" t="s">
        <v>37</v>
      </c>
      <c r="AA566" t="s">
        <v>37</v>
      </c>
      <c r="AB566">
        <v>0</v>
      </c>
      <c r="AC566">
        <v>0</v>
      </c>
      <c r="AD566">
        <f t="shared" ca="1" si="8"/>
        <v>16</v>
      </c>
      <c r="AE566" t="e">
        <f>AVERAGE(Table1[[#This Row],[Runs Conceded]]/Table1[[#This Row],[Wickets Taken]])</f>
        <v>#VALUE!</v>
      </c>
    </row>
    <row r="567" spans="1:31" x14ac:dyDescent="0.3">
      <c r="A567" t="s">
        <v>365</v>
      </c>
      <c r="B567" t="s">
        <v>370</v>
      </c>
      <c r="C567" t="s">
        <v>32</v>
      </c>
      <c r="D567">
        <v>1</v>
      </c>
      <c r="E567">
        <v>1</v>
      </c>
      <c r="F567">
        <v>0</v>
      </c>
      <c r="G567">
        <v>1</v>
      </c>
      <c r="H567">
        <v>1</v>
      </c>
      <c r="I567">
        <v>1</v>
      </c>
      <c r="J567">
        <v>3</v>
      </c>
      <c r="K567">
        <v>33.33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</v>
      </c>
      <c r="R567">
        <v>4</v>
      </c>
      <c r="S567">
        <v>0</v>
      </c>
      <c r="T567">
        <v>49</v>
      </c>
      <c r="U567">
        <v>0</v>
      </c>
      <c r="V567" t="s">
        <v>37</v>
      </c>
      <c r="W567" t="s">
        <v>37</v>
      </c>
      <c r="X567">
        <v>12.25</v>
      </c>
      <c r="Y567" t="s">
        <v>37</v>
      </c>
      <c r="Z567">
        <v>0</v>
      </c>
      <c r="AA567">
        <v>0</v>
      </c>
      <c r="AB567">
        <v>1</v>
      </c>
      <c r="AC567">
        <v>0</v>
      </c>
      <c r="AD567">
        <f t="shared" ca="1" si="8"/>
        <v>13</v>
      </c>
      <c r="AE567" t="e">
        <f>AVERAGE(Table1[[#This Row],[Runs Conceded]]/Table1[[#This Row],[Wickets Taken]])</f>
        <v>#DIV/0!</v>
      </c>
    </row>
    <row r="568" spans="1:31" x14ac:dyDescent="0.3">
      <c r="A568" t="s">
        <v>365</v>
      </c>
      <c r="B568" t="s">
        <v>371</v>
      </c>
      <c r="C568" t="s">
        <v>32</v>
      </c>
      <c r="D568">
        <v>2</v>
      </c>
      <c r="E568" t="s">
        <v>37</v>
      </c>
      <c r="F568" t="s">
        <v>37</v>
      </c>
      <c r="G568" t="s">
        <v>37</v>
      </c>
      <c r="H568" t="s">
        <v>37</v>
      </c>
      <c r="I568" t="s">
        <v>37</v>
      </c>
      <c r="J568" t="s">
        <v>37</v>
      </c>
      <c r="K568" t="s">
        <v>37</v>
      </c>
      <c r="L568" t="s">
        <v>37</v>
      </c>
      <c r="M568" t="s">
        <v>37</v>
      </c>
      <c r="N568" t="s">
        <v>37</v>
      </c>
      <c r="O568" t="s">
        <v>37</v>
      </c>
      <c r="P568" t="s">
        <v>37</v>
      </c>
      <c r="Q568">
        <v>2</v>
      </c>
      <c r="R568">
        <v>6</v>
      </c>
      <c r="S568">
        <v>0</v>
      </c>
      <c r="T568">
        <v>75</v>
      </c>
      <c r="U568">
        <v>3</v>
      </c>
      <c r="V568" s="1">
        <v>15738</v>
      </c>
      <c r="W568">
        <v>25</v>
      </c>
      <c r="X568">
        <v>12.5</v>
      </c>
      <c r="Y568">
        <v>12</v>
      </c>
      <c r="Z568">
        <v>0</v>
      </c>
      <c r="AA568">
        <v>0</v>
      </c>
      <c r="AB568">
        <v>0</v>
      </c>
      <c r="AC568">
        <v>0</v>
      </c>
      <c r="AD568">
        <f t="shared" ca="1" si="8"/>
        <v>15</v>
      </c>
      <c r="AE568">
        <f>AVERAGE(Table1[[#This Row],[Runs Conceded]]/Table1[[#This Row],[Wickets Taken]])</f>
        <v>25</v>
      </c>
    </row>
    <row r="569" spans="1:31" x14ac:dyDescent="0.3">
      <c r="A569" t="s">
        <v>365</v>
      </c>
      <c r="B569" t="s">
        <v>372</v>
      </c>
      <c r="C569" t="s">
        <v>32</v>
      </c>
      <c r="D569">
        <v>7</v>
      </c>
      <c r="E569" t="s">
        <v>37</v>
      </c>
      <c r="F569" t="s">
        <v>37</v>
      </c>
      <c r="G569" t="s">
        <v>37</v>
      </c>
      <c r="H569" t="s">
        <v>37</v>
      </c>
      <c r="I569" t="s">
        <v>37</v>
      </c>
      <c r="J569" t="s">
        <v>37</v>
      </c>
      <c r="K569" t="s">
        <v>37</v>
      </c>
      <c r="L569" t="s">
        <v>37</v>
      </c>
      <c r="M569" t="s">
        <v>37</v>
      </c>
      <c r="N569" t="s">
        <v>37</v>
      </c>
      <c r="O569" t="s">
        <v>37</v>
      </c>
      <c r="P569" t="s">
        <v>37</v>
      </c>
      <c r="Q569">
        <v>7</v>
      </c>
      <c r="R569">
        <v>26</v>
      </c>
      <c r="S569">
        <v>2</v>
      </c>
      <c r="T569">
        <v>156</v>
      </c>
      <c r="U569">
        <v>11</v>
      </c>
      <c r="V569" s="2">
        <v>44108</v>
      </c>
      <c r="W569">
        <v>14.18</v>
      </c>
      <c r="X569">
        <v>6</v>
      </c>
      <c r="Y569">
        <v>14.1</v>
      </c>
      <c r="Z569">
        <v>1</v>
      </c>
      <c r="AA569">
        <v>0</v>
      </c>
      <c r="AB569">
        <v>1</v>
      </c>
      <c r="AC569">
        <v>0</v>
      </c>
      <c r="AD569">
        <f t="shared" ca="1" si="8"/>
        <v>8</v>
      </c>
      <c r="AE569">
        <f>AVERAGE(Table1[[#This Row],[Runs Conceded]]/Table1[[#This Row],[Wickets Taken]])</f>
        <v>14.181818181818182</v>
      </c>
    </row>
    <row r="570" spans="1:31" x14ac:dyDescent="0.3">
      <c r="A570" t="s">
        <v>365</v>
      </c>
      <c r="B570" t="s">
        <v>373</v>
      </c>
      <c r="C570" t="s">
        <v>32</v>
      </c>
      <c r="D570">
        <v>3</v>
      </c>
      <c r="E570" t="s">
        <v>37</v>
      </c>
      <c r="F570" t="s">
        <v>37</v>
      </c>
      <c r="G570" t="s">
        <v>37</v>
      </c>
      <c r="H570" t="s">
        <v>37</v>
      </c>
      <c r="I570" t="s">
        <v>37</v>
      </c>
      <c r="J570" t="s">
        <v>37</v>
      </c>
      <c r="K570" t="s">
        <v>37</v>
      </c>
      <c r="L570" t="s">
        <v>37</v>
      </c>
      <c r="M570" t="s">
        <v>37</v>
      </c>
      <c r="N570" t="s">
        <v>37</v>
      </c>
      <c r="O570" t="s">
        <v>37</v>
      </c>
      <c r="P570" t="s">
        <v>37</v>
      </c>
      <c r="Q570">
        <v>3</v>
      </c>
      <c r="R570">
        <v>10</v>
      </c>
      <c r="S570">
        <v>0</v>
      </c>
      <c r="T570">
        <v>95</v>
      </c>
      <c r="U570">
        <v>2</v>
      </c>
      <c r="V570" s="1">
        <v>45292</v>
      </c>
      <c r="W570">
        <v>47.5</v>
      </c>
      <c r="X570">
        <v>9.5</v>
      </c>
      <c r="Y570">
        <v>30</v>
      </c>
      <c r="Z570">
        <v>0</v>
      </c>
      <c r="AA570">
        <v>0</v>
      </c>
      <c r="AB570">
        <v>2</v>
      </c>
      <c r="AC570">
        <v>0</v>
      </c>
      <c r="AD570">
        <f t="shared" ca="1" si="8"/>
        <v>8</v>
      </c>
      <c r="AE570">
        <f>AVERAGE(Table1[[#This Row],[Runs Conceded]]/Table1[[#This Row],[Wickets Taken]])</f>
        <v>47.5</v>
      </c>
    </row>
    <row r="571" spans="1:31" x14ac:dyDescent="0.3">
      <c r="A571" t="s">
        <v>365</v>
      </c>
      <c r="B571" t="s">
        <v>374</v>
      </c>
      <c r="C571" t="s">
        <v>92</v>
      </c>
      <c r="D571">
        <v>4</v>
      </c>
      <c r="E571">
        <v>2</v>
      </c>
      <c r="F571">
        <v>1</v>
      </c>
      <c r="G571">
        <v>32</v>
      </c>
      <c r="H571">
        <v>22</v>
      </c>
      <c r="I571">
        <v>32</v>
      </c>
      <c r="J571">
        <v>23</v>
      </c>
      <c r="K571">
        <v>139.13</v>
      </c>
      <c r="L571">
        <v>0</v>
      </c>
      <c r="M571">
        <v>0</v>
      </c>
      <c r="N571">
        <v>0</v>
      </c>
      <c r="O571">
        <v>0</v>
      </c>
      <c r="P571">
        <v>3</v>
      </c>
      <c r="Q571">
        <v>4</v>
      </c>
      <c r="R571">
        <v>14</v>
      </c>
      <c r="S571">
        <v>0</v>
      </c>
      <c r="T571">
        <v>94</v>
      </c>
      <c r="U571">
        <v>4</v>
      </c>
      <c r="V571" s="1">
        <v>41306</v>
      </c>
      <c r="W571">
        <v>23.5</v>
      </c>
      <c r="X571">
        <v>6.71</v>
      </c>
      <c r="Y571">
        <v>21</v>
      </c>
      <c r="Z571">
        <v>0</v>
      </c>
      <c r="AA571">
        <v>0</v>
      </c>
      <c r="AB571">
        <v>1</v>
      </c>
      <c r="AC571">
        <v>0</v>
      </c>
      <c r="AD571">
        <f t="shared" ca="1" si="8"/>
        <v>6</v>
      </c>
      <c r="AE571">
        <f>AVERAGE(Table1[[#This Row],[Runs Conceded]]/Table1[[#This Row],[Wickets Taken]])</f>
        <v>23.5</v>
      </c>
    </row>
    <row r="572" spans="1:31" x14ac:dyDescent="0.3">
      <c r="A572" t="s">
        <v>365</v>
      </c>
      <c r="B572" t="s">
        <v>375</v>
      </c>
      <c r="C572" t="s">
        <v>92</v>
      </c>
      <c r="D572">
        <v>2</v>
      </c>
      <c r="E572" t="s">
        <v>37</v>
      </c>
      <c r="F572" t="s">
        <v>37</v>
      </c>
      <c r="G572" t="s">
        <v>37</v>
      </c>
      <c r="H572" t="s">
        <v>37</v>
      </c>
      <c r="I572" t="s">
        <v>37</v>
      </c>
      <c r="J572" t="s">
        <v>37</v>
      </c>
      <c r="K572" t="s">
        <v>37</v>
      </c>
      <c r="L572" t="s">
        <v>37</v>
      </c>
      <c r="M572" t="s">
        <v>37</v>
      </c>
      <c r="N572" t="s">
        <v>37</v>
      </c>
      <c r="O572" t="s">
        <v>37</v>
      </c>
      <c r="P572" t="s">
        <v>37</v>
      </c>
      <c r="Q572">
        <v>2</v>
      </c>
      <c r="R572">
        <v>8</v>
      </c>
      <c r="S572">
        <v>0</v>
      </c>
      <c r="T572">
        <v>71</v>
      </c>
      <c r="U572">
        <v>2</v>
      </c>
      <c r="V572" s="1">
        <v>13547</v>
      </c>
      <c r="W572">
        <v>35.5</v>
      </c>
      <c r="X572">
        <v>8.8699999999999992</v>
      </c>
      <c r="Y572">
        <v>24</v>
      </c>
      <c r="Z572">
        <v>0</v>
      </c>
      <c r="AA572">
        <v>0</v>
      </c>
      <c r="AB572">
        <v>0</v>
      </c>
      <c r="AC572">
        <v>0</v>
      </c>
      <c r="AD572">
        <f t="shared" ca="1" si="8"/>
        <v>7</v>
      </c>
      <c r="AE572">
        <f>AVERAGE(Table1[[#This Row],[Runs Conceded]]/Table1[[#This Row],[Wickets Taken]])</f>
        <v>35.5</v>
      </c>
    </row>
    <row r="573" spans="1:31" x14ac:dyDescent="0.3">
      <c r="A573" t="s">
        <v>376</v>
      </c>
      <c r="B573" t="s">
        <v>42</v>
      </c>
      <c r="C573" t="s">
        <v>32</v>
      </c>
      <c r="D573">
        <v>15</v>
      </c>
      <c r="E573">
        <v>15</v>
      </c>
      <c r="F573">
        <v>1</v>
      </c>
      <c r="G573">
        <v>441</v>
      </c>
      <c r="H573" t="s">
        <v>252</v>
      </c>
      <c r="I573">
        <v>31.5</v>
      </c>
      <c r="J573">
        <v>320</v>
      </c>
      <c r="K573">
        <v>137.81</v>
      </c>
      <c r="L573">
        <v>0</v>
      </c>
      <c r="M573">
        <v>3</v>
      </c>
      <c r="N573">
        <v>1</v>
      </c>
      <c r="O573">
        <v>30</v>
      </c>
      <c r="P573">
        <v>19</v>
      </c>
      <c r="Q573" t="s">
        <v>37</v>
      </c>
      <c r="R573" t="s">
        <v>37</v>
      </c>
      <c r="S573" t="s">
        <v>37</v>
      </c>
      <c r="T573" t="s">
        <v>37</v>
      </c>
      <c r="U573" t="s">
        <v>37</v>
      </c>
      <c r="V573" t="s">
        <v>37</v>
      </c>
      <c r="W573" t="s">
        <v>37</v>
      </c>
      <c r="X573" t="s">
        <v>37</v>
      </c>
      <c r="Y573" t="s">
        <v>37</v>
      </c>
      <c r="Z573" t="s">
        <v>37</v>
      </c>
      <c r="AA573" t="s">
        <v>37</v>
      </c>
      <c r="AB573">
        <v>5</v>
      </c>
      <c r="AC573">
        <v>0</v>
      </c>
      <c r="AD573">
        <f t="shared" ca="1" si="8"/>
        <v>17</v>
      </c>
      <c r="AE573" t="e">
        <f>AVERAGE(Table1[[#This Row],[Runs Conceded]]/Table1[[#This Row],[Wickets Taken]])</f>
        <v>#VALUE!</v>
      </c>
    </row>
    <row r="574" spans="1:31" x14ac:dyDescent="0.3">
      <c r="A574" t="s">
        <v>376</v>
      </c>
      <c r="B574" t="s">
        <v>42</v>
      </c>
      <c r="C574" t="s">
        <v>92</v>
      </c>
      <c r="D574">
        <v>12</v>
      </c>
      <c r="E574">
        <v>12</v>
      </c>
      <c r="F574">
        <v>2</v>
      </c>
      <c r="G574">
        <v>342</v>
      </c>
      <c r="H574" t="s">
        <v>377</v>
      </c>
      <c r="I574">
        <v>34.200000000000003</v>
      </c>
      <c r="J574">
        <v>230</v>
      </c>
      <c r="K574">
        <v>148.69</v>
      </c>
      <c r="L574">
        <v>1</v>
      </c>
      <c r="M574">
        <v>0</v>
      </c>
      <c r="N574">
        <v>1</v>
      </c>
      <c r="O574">
        <v>28</v>
      </c>
      <c r="P574">
        <v>13</v>
      </c>
      <c r="Q574" t="s">
        <v>37</v>
      </c>
      <c r="R574" t="s">
        <v>37</v>
      </c>
      <c r="S574" t="s">
        <v>37</v>
      </c>
      <c r="T574" t="s">
        <v>37</v>
      </c>
      <c r="U574" t="s">
        <v>37</v>
      </c>
      <c r="V574" t="s">
        <v>37</v>
      </c>
      <c r="W574" t="s">
        <v>37</v>
      </c>
      <c r="X574" t="s">
        <v>37</v>
      </c>
      <c r="Y574" t="s">
        <v>37</v>
      </c>
      <c r="Z574" t="s">
        <v>37</v>
      </c>
      <c r="AA574" t="s">
        <v>37</v>
      </c>
      <c r="AB574">
        <v>4</v>
      </c>
      <c r="AC574">
        <v>1</v>
      </c>
      <c r="AD574">
        <f t="shared" ca="1" si="8"/>
        <v>9</v>
      </c>
      <c r="AE574" t="e">
        <f>AVERAGE(Table1[[#This Row],[Runs Conceded]]/Table1[[#This Row],[Wickets Taken]])</f>
        <v>#VALUE!</v>
      </c>
    </row>
    <row r="575" spans="1:31" x14ac:dyDescent="0.3">
      <c r="A575" t="s">
        <v>376</v>
      </c>
      <c r="B575" t="s">
        <v>122</v>
      </c>
      <c r="C575" t="s">
        <v>32</v>
      </c>
      <c r="D575">
        <v>3</v>
      </c>
      <c r="E575">
        <v>1</v>
      </c>
      <c r="F575">
        <v>1</v>
      </c>
      <c r="G575">
        <v>3</v>
      </c>
      <c r="H575" t="s">
        <v>235</v>
      </c>
      <c r="I575" t="s">
        <v>37</v>
      </c>
      <c r="J575">
        <v>4</v>
      </c>
      <c r="K575">
        <v>75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3</v>
      </c>
      <c r="R575">
        <v>4</v>
      </c>
      <c r="S575">
        <v>0</v>
      </c>
      <c r="T575">
        <v>42</v>
      </c>
      <c r="U575">
        <v>1</v>
      </c>
      <c r="V575" s="1">
        <v>43831</v>
      </c>
      <c r="W575">
        <v>42</v>
      </c>
      <c r="X575">
        <v>10.5</v>
      </c>
      <c r="Y575">
        <v>24</v>
      </c>
      <c r="Z575">
        <v>0</v>
      </c>
      <c r="AA575">
        <v>0</v>
      </c>
      <c r="AB575">
        <v>1</v>
      </c>
      <c r="AC575">
        <v>0</v>
      </c>
      <c r="AD575">
        <f t="shared" ca="1" si="8"/>
        <v>3</v>
      </c>
      <c r="AE575">
        <f>AVERAGE(Table1[[#This Row],[Runs Conceded]]/Table1[[#This Row],[Wickets Taken]])</f>
        <v>42</v>
      </c>
    </row>
    <row r="576" spans="1:31" x14ac:dyDescent="0.3">
      <c r="A576" t="s">
        <v>376</v>
      </c>
      <c r="B576" t="s">
        <v>188</v>
      </c>
      <c r="C576" t="s">
        <v>32</v>
      </c>
      <c r="D576">
        <v>15</v>
      </c>
      <c r="E576">
        <v>7</v>
      </c>
      <c r="F576">
        <v>3</v>
      </c>
      <c r="G576">
        <v>49</v>
      </c>
      <c r="H576">
        <v>26</v>
      </c>
      <c r="I576">
        <v>12.25</v>
      </c>
      <c r="J576">
        <v>38</v>
      </c>
      <c r="K576">
        <v>128.94</v>
      </c>
      <c r="L576">
        <v>0</v>
      </c>
      <c r="M576">
        <v>0</v>
      </c>
      <c r="N576">
        <v>1</v>
      </c>
      <c r="O576">
        <v>6</v>
      </c>
      <c r="P576">
        <v>1</v>
      </c>
      <c r="Q576">
        <v>15</v>
      </c>
      <c r="R576">
        <v>50.2</v>
      </c>
      <c r="S576">
        <v>0</v>
      </c>
      <c r="T576">
        <v>486</v>
      </c>
      <c r="U576">
        <v>11</v>
      </c>
      <c r="V576" s="1">
        <v>16862</v>
      </c>
      <c r="W576">
        <v>44.18</v>
      </c>
      <c r="X576">
        <v>9.65</v>
      </c>
      <c r="Y576">
        <v>27.4</v>
      </c>
      <c r="Z576">
        <v>0</v>
      </c>
      <c r="AA576">
        <v>0</v>
      </c>
      <c r="AB576">
        <v>6</v>
      </c>
      <c r="AC576">
        <v>0</v>
      </c>
      <c r="AD576">
        <f t="shared" ca="1" si="8"/>
        <v>13</v>
      </c>
      <c r="AE576">
        <f>AVERAGE(Table1[[#This Row],[Runs Conceded]]/Table1[[#This Row],[Wickets Taken]])</f>
        <v>44.18181818181818</v>
      </c>
    </row>
    <row r="577" spans="1:31" x14ac:dyDescent="0.3">
      <c r="A577" t="s">
        <v>376</v>
      </c>
      <c r="B577" t="s">
        <v>188</v>
      </c>
      <c r="C577" t="s">
        <v>92</v>
      </c>
      <c r="D577">
        <v>11</v>
      </c>
      <c r="E577">
        <v>4</v>
      </c>
      <c r="F577">
        <v>3</v>
      </c>
      <c r="G577">
        <v>1</v>
      </c>
      <c r="H577">
        <v>1</v>
      </c>
      <c r="I577">
        <v>1</v>
      </c>
      <c r="J577">
        <v>3</v>
      </c>
      <c r="K577">
        <v>33.33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11</v>
      </c>
      <c r="R577">
        <v>37.200000000000003</v>
      </c>
      <c r="S577">
        <v>0</v>
      </c>
      <c r="T577">
        <v>398</v>
      </c>
      <c r="U577">
        <v>10</v>
      </c>
      <c r="V577" s="1">
        <v>46054</v>
      </c>
      <c r="W577">
        <v>39.799999999999997</v>
      </c>
      <c r="X577">
        <v>10.66</v>
      </c>
      <c r="Y577">
        <v>22.4</v>
      </c>
      <c r="Z577">
        <v>0</v>
      </c>
      <c r="AA577">
        <v>0</v>
      </c>
      <c r="AB577">
        <v>3</v>
      </c>
      <c r="AC577">
        <v>0</v>
      </c>
      <c r="AD577">
        <f t="shared" ca="1" si="8"/>
        <v>15</v>
      </c>
      <c r="AE577">
        <f>AVERAGE(Table1[[#This Row],[Runs Conceded]]/Table1[[#This Row],[Wickets Taken]])</f>
        <v>39.799999999999997</v>
      </c>
    </row>
    <row r="578" spans="1:31" x14ac:dyDescent="0.3">
      <c r="A578" t="s">
        <v>376</v>
      </c>
      <c r="B578" t="s">
        <v>221</v>
      </c>
      <c r="C578" t="s">
        <v>32</v>
      </c>
      <c r="D578">
        <v>13</v>
      </c>
      <c r="E578">
        <v>13</v>
      </c>
      <c r="F578">
        <v>3</v>
      </c>
      <c r="G578">
        <v>548</v>
      </c>
      <c r="H578" t="s">
        <v>127</v>
      </c>
      <c r="I578">
        <v>54.8</v>
      </c>
      <c r="J578">
        <v>353</v>
      </c>
      <c r="K578">
        <v>155.24</v>
      </c>
      <c r="L578">
        <v>0</v>
      </c>
      <c r="M578">
        <v>5</v>
      </c>
      <c r="N578">
        <v>0</v>
      </c>
      <c r="O578">
        <v>52</v>
      </c>
      <c r="P578">
        <v>21</v>
      </c>
      <c r="Q578" t="s">
        <v>37</v>
      </c>
      <c r="R578" t="s">
        <v>37</v>
      </c>
      <c r="S578" t="s">
        <v>37</v>
      </c>
      <c r="T578" t="s">
        <v>37</v>
      </c>
      <c r="U578" t="s">
        <v>37</v>
      </c>
      <c r="V578" t="s">
        <v>37</v>
      </c>
      <c r="W578" t="s">
        <v>37</v>
      </c>
      <c r="X578" t="s">
        <v>37</v>
      </c>
      <c r="Y578" t="s">
        <v>37</v>
      </c>
      <c r="Z578" t="s">
        <v>37</v>
      </c>
      <c r="AA578" t="s">
        <v>37</v>
      </c>
      <c r="AB578">
        <v>9</v>
      </c>
      <c r="AC578">
        <v>1</v>
      </c>
      <c r="AD578">
        <f t="shared" ref="AD578:AD632" ca="1" si="9">RANDBETWEEN(3,18)</f>
        <v>16</v>
      </c>
      <c r="AE578" t="e">
        <f>AVERAGE(Table1[[#This Row],[Runs Conceded]]/Table1[[#This Row],[Wickets Taken]])</f>
        <v>#VALUE!</v>
      </c>
    </row>
    <row r="579" spans="1:31" x14ac:dyDescent="0.3">
      <c r="A579" t="s">
        <v>376</v>
      </c>
      <c r="B579" t="s">
        <v>221</v>
      </c>
      <c r="C579" t="s">
        <v>92</v>
      </c>
      <c r="D579">
        <v>8</v>
      </c>
      <c r="E579">
        <v>8</v>
      </c>
      <c r="F579">
        <v>0</v>
      </c>
      <c r="G579">
        <v>311</v>
      </c>
      <c r="H579">
        <v>89</v>
      </c>
      <c r="I579">
        <v>38.869999999999997</v>
      </c>
      <c r="J579">
        <v>205</v>
      </c>
      <c r="K579">
        <v>151.69999999999999</v>
      </c>
      <c r="L579">
        <v>0</v>
      </c>
      <c r="M579">
        <v>3</v>
      </c>
      <c r="N579">
        <v>0</v>
      </c>
      <c r="O579">
        <v>38</v>
      </c>
      <c r="P579">
        <v>14</v>
      </c>
      <c r="Q579" t="s">
        <v>37</v>
      </c>
      <c r="R579" t="s">
        <v>37</v>
      </c>
      <c r="S579" t="s">
        <v>37</v>
      </c>
      <c r="T579" t="s">
        <v>37</v>
      </c>
      <c r="U579" t="s">
        <v>37</v>
      </c>
      <c r="V579" t="s">
        <v>37</v>
      </c>
      <c r="W579" t="s">
        <v>37</v>
      </c>
      <c r="X579" t="s">
        <v>37</v>
      </c>
      <c r="Y579" t="s">
        <v>37</v>
      </c>
      <c r="Z579" t="s">
        <v>37</v>
      </c>
      <c r="AA579" t="s">
        <v>37</v>
      </c>
      <c r="AB579">
        <v>8</v>
      </c>
      <c r="AC579">
        <v>0</v>
      </c>
      <c r="AD579">
        <f t="shared" ca="1" si="9"/>
        <v>5</v>
      </c>
      <c r="AE579" t="e">
        <f>AVERAGE(Table1[[#This Row],[Runs Conceded]]/Table1[[#This Row],[Wickets Taken]])</f>
        <v>#VALUE!</v>
      </c>
    </row>
    <row r="580" spans="1:31" x14ac:dyDescent="0.3">
      <c r="A580" t="s">
        <v>376</v>
      </c>
      <c r="B580" t="s">
        <v>230</v>
      </c>
      <c r="C580" t="s">
        <v>32</v>
      </c>
      <c r="D580">
        <v>11</v>
      </c>
      <c r="E580">
        <v>4</v>
      </c>
      <c r="F580">
        <v>1</v>
      </c>
      <c r="G580">
        <v>50</v>
      </c>
      <c r="H580">
        <v>24</v>
      </c>
      <c r="I580">
        <v>16.66</v>
      </c>
      <c r="J580">
        <v>45</v>
      </c>
      <c r="K580">
        <v>111.11</v>
      </c>
      <c r="L580">
        <v>0</v>
      </c>
      <c r="M580">
        <v>0</v>
      </c>
      <c r="N580">
        <v>1</v>
      </c>
      <c r="O580">
        <v>5</v>
      </c>
      <c r="P580">
        <v>0</v>
      </c>
      <c r="Q580">
        <v>10</v>
      </c>
      <c r="R580">
        <v>31</v>
      </c>
      <c r="S580">
        <v>0</v>
      </c>
      <c r="T580">
        <v>236</v>
      </c>
      <c r="U580">
        <v>11</v>
      </c>
      <c r="V580" s="1">
        <v>42461</v>
      </c>
      <c r="W580">
        <v>21.45</v>
      </c>
      <c r="X580">
        <v>7.61</v>
      </c>
      <c r="Y580">
        <v>16.899999999999999</v>
      </c>
      <c r="Z580">
        <v>1</v>
      </c>
      <c r="AA580">
        <v>0</v>
      </c>
      <c r="AB580">
        <v>3</v>
      </c>
      <c r="AC580">
        <v>0</v>
      </c>
      <c r="AD580">
        <f t="shared" ca="1" si="9"/>
        <v>5</v>
      </c>
      <c r="AE580">
        <f>AVERAGE(Table1[[#This Row],[Runs Conceded]]/Table1[[#This Row],[Wickets Taken]])</f>
        <v>21.454545454545453</v>
      </c>
    </row>
    <row r="581" spans="1:31" x14ac:dyDescent="0.3">
      <c r="A581" t="s">
        <v>376</v>
      </c>
      <c r="B581" t="s">
        <v>230</v>
      </c>
      <c r="C581" t="s">
        <v>92</v>
      </c>
      <c r="D581">
        <v>14</v>
      </c>
      <c r="E581">
        <v>7</v>
      </c>
      <c r="F581">
        <v>3</v>
      </c>
      <c r="G581">
        <v>63</v>
      </c>
      <c r="H581" t="s">
        <v>41</v>
      </c>
      <c r="I581">
        <v>15.75</v>
      </c>
      <c r="J581">
        <v>46</v>
      </c>
      <c r="K581">
        <v>136.94999999999999</v>
      </c>
      <c r="L581">
        <v>0</v>
      </c>
      <c r="M581">
        <v>0</v>
      </c>
      <c r="N581">
        <v>2</v>
      </c>
      <c r="O581">
        <v>8</v>
      </c>
      <c r="P581">
        <v>1</v>
      </c>
      <c r="Q581">
        <v>14</v>
      </c>
      <c r="R581">
        <v>48</v>
      </c>
      <c r="S581">
        <v>1</v>
      </c>
      <c r="T581">
        <v>347</v>
      </c>
      <c r="U581">
        <v>20</v>
      </c>
      <c r="V581" s="2">
        <v>44168</v>
      </c>
      <c r="W581">
        <v>17.350000000000001</v>
      </c>
      <c r="X581">
        <v>7.22</v>
      </c>
      <c r="Y581">
        <v>14.4</v>
      </c>
      <c r="Z581">
        <v>0</v>
      </c>
      <c r="AA581">
        <v>0</v>
      </c>
      <c r="AB581">
        <v>5</v>
      </c>
      <c r="AC581">
        <v>0</v>
      </c>
      <c r="AD581">
        <f t="shared" ca="1" si="9"/>
        <v>8</v>
      </c>
      <c r="AE581">
        <f>AVERAGE(Table1[[#This Row],[Runs Conceded]]/Table1[[#This Row],[Wickets Taken]])</f>
        <v>17.350000000000001</v>
      </c>
    </row>
    <row r="582" spans="1:31" x14ac:dyDescent="0.3">
      <c r="A582" t="s">
        <v>376</v>
      </c>
      <c r="B582" t="s">
        <v>261</v>
      </c>
      <c r="C582" t="s">
        <v>32</v>
      </c>
      <c r="D582">
        <v>7</v>
      </c>
      <c r="E582">
        <v>5</v>
      </c>
      <c r="F582">
        <v>0</v>
      </c>
      <c r="G582">
        <v>44</v>
      </c>
      <c r="H582">
        <v>22</v>
      </c>
      <c r="I582">
        <v>8.8000000000000007</v>
      </c>
      <c r="J582">
        <v>39</v>
      </c>
      <c r="K582">
        <v>112.82</v>
      </c>
      <c r="L582">
        <v>0</v>
      </c>
      <c r="M582">
        <v>0</v>
      </c>
      <c r="N582">
        <v>1</v>
      </c>
      <c r="O582">
        <v>2</v>
      </c>
      <c r="P582">
        <v>2</v>
      </c>
      <c r="Q582">
        <v>1</v>
      </c>
      <c r="R582">
        <v>2</v>
      </c>
      <c r="S582">
        <v>0</v>
      </c>
      <c r="T582">
        <v>33</v>
      </c>
      <c r="U582">
        <v>0</v>
      </c>
      <c r="V582" t="s">
        <v>37</v>
      </c>
      <c r="W582" t="s">
        <v>37</v>
      </c>
      <c r="X582">
        <v>16.5</v>
      </c>
      <c r="Y582" t="s">
        <v>37</v>
      </c>
      <c r="Z582">
        <v>0</v>
      </c>
      <c r="AA582">
        <v>0</v>
      </c>
      <c r="AB582">
        <v>1</v>
      </c>
      <c r="AC582">
        <v>0</v>
      </c>
      <c r="AD582">
        <f t="shared" ca="1" si="9"/>
        <v>7</v>
      </c>
      <c r="AE582" t="e">
        <f>AVERAGE(Table1[[#This Row],[Runs Conceded]]/Table1[[#This Row],[Wickets Taken]])</f>
        <v>#DIV/0!</v>
      </c>
    </row>
    <row r="583" spans="1:31" x14ac:dyDescent="0.3">
      <c r="A583" t="s">
        <v>376</v>
      </c>
      <c r="B583" t="s">
        <v>261</v>
      </c>
      <c r="C583" t="s">
        <v>92</v>
      </c>
      <c r="D583">
        <v>8</v>
      </c>
      <c r="E583">
        <v>5</v>
      </c>
      <c r="F583">
        <v>2</v>
      </c>
      <c r="G583">
        <v>70</v>
      </c>
      <c r="H583" t="s">
        <v>134</v>
      </c>
      <c r="I583">
        <v>23.33</v>
      </c>
      <c r="J583">
        <v>40</v>
      </c>
      <c r="K583">
        <v>175</v>
      </c>
      <c r="L583">
        <v>0</v>
      </c>
      <c r="M583">
        <v>0</v>
      </c>
      <c r="N583">
        <v>1</v>
      </c>
      <c r="O583">
        <v>5</v>
      </c>
      <c r="P583">
        <v>4</v>
      </c>
      <c r="Q583">
        <v>5</v>
      </c>
      <c r="R583">
        <v>7</v>
      </c>
      <c r="S583">
        <v>0</v>
      </c>
      <c r="T583">
        <v>44</v>
      </c>
      <c r="U583">
        <v>1</v>
      </c>
      <c r="V583" s="1">
        <v>43466</v>
      </c>
      <c r="W583">
        <v>44</v>
      </c>
      <c r="X583">
        <v>6.28</v>
      </c>
      <c r="Y583">
        <v>42</v>
      </c>
      <c r="Z583">
        <v>0</v>
      </c>
      <c r="AA583">
        <v>0</v>
      </c>
      <c r="AB583">
        <v>0</v>
      </c>
      <c r="AC583">
        <v>0</v>
      </c>
      <c r="AD583">
        <f t="shared" ca="1" si="9"/>
        <v>4</v>
      </c>
      <c r="AE583">
        <f>AVERAGE(Table1[[#This Row],[Runs Conceded]]/Table1[[#This Row],[Wickets Taken]])</f>
        <v>44</v>
      </c>
    </row>
    <row r="584" spans="1:31" x14ac:dyDescent="0.3">
      <c r="A584" t="s">
        <v>376</v>
      </c>
      <c r="B584" t="s">
        <v>132</v>
      </c>
      <c r="C584" t="s">
        <v>92</v>
      </c>
      <c r="D584">
        <v>5</v>
      </c>
      <c r="E584">
        <v>1</v>
      </c>
      <c r="F584">
        <v>1</v>
      </c>
      <c r="G584">
        <v>3</v>
      </c>
      <c r="H584" t="s">
        <v>235</v>
      </c>
      <c r="I584" t="s">
        <v>37</v>
      </c>
      <c r="J584">
        <v>7</v>
      </c>
      <c r="K584">
        <v>42.85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5</v>
      </c>
      <c r="R584">
        <v>12</v>
      </c>
      <c r="S584">
        <v>1</v>
      </c>
      <c r="T584">
        <v>116</v>
      </c>
      <c r="U584">
        <v>4</v>
      </c>
      <c r="V584" s="1">
        <v>43862</v>
      </c>
      <c r="W584">
        <v>29</v>
      </c>
      <c r="X584">
        <v>9.66</v>
      </c>
      <c r="Y584">
        <v>18</v>
      </c>
      <c r="Z584">
        <v>0</v>
      </c>
      <c r="AA584">
        <v>0</v>
      </c>
      <c r="AB584">
        <v>1</v>
      </c>
      <c r="AC584">
        <v>0</v>
      </c>
      <c r="AD584">
        <f t="shared" ca="1" si="9"/>
        <v>14</v>
      </c>
      <c r="AE584">
        <f>AVERAGE(Table1[[#This Row],[Runs Conceded]]/Table1[[#This Row],[Wickets Taken]])</f>
        <v>29</v>
      </c>
    </row>
    <row r="585" spans="1:31" x14ac:dyDescent="0.3">
      <c r="A585" t="s">
        <v>376</v>
      </c>
      <c r="B585" t="s">
        <v>323</v>
      </c>
      <c r="C585" t="s">
        <v>32</v>
      </c>
      <c r="D585">
        <v>8</v>
      </c>
      <c r="E585">
        <v>2</v>
      </c>
      <c r="F585">
        <v>1</v>
      </c>
      <c r="G585">
        <v>6</v>
      </c>
      <c r="H585" t="s">
        <v>235</v>
      </c>
      <c r="I585">
        <v>6</v>
      </c>
      <c r="J585">
        <v>7</v>
      </c>
      <c r="K585">
        <v>85.71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8</v>
      </c>
      <c r="R585">
        <v>19.5</v>
      </c>
      <c r="S585">
        <v>0</v>
      </c>
      <c r="T585">
        <v>188</v>
      </c>
      <c r="U585">
        <v>4</v>
      </c>
      <c r="V585" s="1">
        <v>11720</v>
      </c>
      <c r="W585">
        <v>47</v>
      </c>
      <c r="X585">
        <v>9.4700000000000006</v>
      </c>
      <c r="Y585">
        <v>29.7</v>
      </c>
      <c r="Z585">
        <v>0</v>
      </c>
      <c r="AA585">
        <v>0</v>
      </c>
      <c r="AB585">
        <v>1</v>
      </c>
      <c r="AC585">
        <v>0</v>
      </c>
      <c r="AD585">
        <f t="shared" ca="1" si="9"/>
        <v>3</v>
      </c>
      <c r="AE585">
        <f>AVERAGE(Table1[[#This Row],[Runs Conceded]]/Table1[[#This Row],[Wickets Taken]])</f>
        <v>47</v>
      </c>
    </row>
    <row r="586" spans="1:31" x14ac:dyDescent="0.3">
      <c r="A586" t="s">
        <v>376</v>
      </c>
      <c r="B586" t="s">
        <v>323</v>
      </c>
      <c r="C586" t="s">
        <v>92</v>
      </c>
      <c r="D586">
        <v>10</v>
      </c>
      <c r="E586">
        <v>1</v>
      </c>
      <c r="F586">
        <v>1</v>
      </c>
      <c r="G586">
        <v>5</v>
      </c>
      <c r="H586" t="s">
        <v>121</v>
      </c>
      <c r="I586" t="s">
        <v>37</v>
      </c>
      <c r="J586">
        <v>3</v>
      </c>
      <c r="K586">
        <v>166.66</v>
      </c>
      <c r="L586">
        <v>0</v>
      </c>
      <c r="M586">
        <v>0</v>
      </c>
      <c r="N586">
        <v>0</v>
      </c>
      <c r="O586">
        <v>1</v>
      </c>
      <c r="P586">
        <v>0</v>
      </c>
      <c r="Q586">
        <v>10</v>
      </c>
      <c r="R586">
        <v>35</v>
      </c>
      <c r="S586">
        <v>1</v>
      </c>
      <c r="T586">
        <v>335</v>
      </c>
      <c r="U586">
        <v>6</v>
      </c>
      <c r="V586" s="1">
        <v>41640</v>
      </c>
      <c r="W586">
        <v>55.83</v>
      </c>
      <c r="X586">
        <v>9.57</v>
      </c>
      <c r="Y586">
        <v>35</v>
      </c>
      <c r="Z586">
        <v>0</v>
      </c>
      <c r="AA586">
        <v>0</v>
      </c>
      <c r="AB586">
        <v>5</v>
      </c>
      <c r="AC586">
        <v>0</v>
      </c>
      <c r="AD586">
        <f t="shared" ca="1" si="9"/>
        <v>7</v>
      </c>
      <c r="AE586">
        <f>AVERAGE(Table1[[#This Row],[Runs Conceded]]/Table1[[#This Row],[Wickets Taken]])</f>
        <v>55.833333333333336</v>
      </c>
    </row>
    <row r="587" spans="1:31" x14ac:dyDescent="0.3">
      <c r="A587" t="s">
        <v>376</v>
      </c>
      <c r="B587" t="s">
        <v>339</v>
      </c>
      <c r="C587" t="s">
        <v>92</v>
      </c>
      <c r="D587">
        <v>12</v>
      </c>
      <c r="E587">
        <v>10</v>
      </c>
      <c r="F587">
        <v>2</v>
      </c>
      <c r="G587">
        <v>319</v>
      </c>
      <c r="H587" t="s">
        <v>378</v>
      </c>
      <c r="I587">
        <v>39.869999999999997</v>
      </c>
      <c r="J587">
        <v>275</v>
      </c>
      <c r="K587">
        <v>116</v>
      </c>
      <c r="L587">
        <v>0</v>
      </c>
      <c r="M587">
        <v>3</v>
      </c>
      <c r="N587">
        <v>0</v>
      </c>
      <c r="O587">
        <v>30</v>
      </c>
      <c r="P587">
        <v>4</v>
      </c>
      <c r="Q587" t="s">
        <v>37</v>
      </c>
      <c r="R587" t="s">
        <v>37</v>
      </c>
      <c r="S587" t="s">
        <v>37</v>
      </c>
      <c r="T587" t="s">
        <v>37</v>
      </c>
      <c r="U587" t="s">
        <v>37</v>
      </c>
      <c r="V587" t="s">
        <v>37</v>
      </c>
      <c r="W587" t="s">
        <v>37</v>
      </c>
      <c r="X587" t="s">
        <v>37</v>
      </c>
      <c r="Y587" t="s">
        <v>37</v>
      </c>
      <c r="Z587" t="s">
        <v>37</v>
      </c>
      <c r="AA587" t="s">
        <v>37</v>
      </c>
      <c r="AB587">
        <v>3</v>
      </c>
      <c r="AC587">
        <v>0</v>
      </c>
      <c r="AD587">
        <f t="shared" ca="1" si="9"/>
        <v>9</v>
      </c>
      <c r="AE587" t="e">
        <f>AVERAGE(Table1[[#This Row],[Runs Conceded]]/Table1[[#This Row],[Wickets Taken]])</f>
        <v>#VALUE!</v>
      </c>
    </row>
    <row r="588" spans="1:31" x14ac:dyDescent="0.3">
      <c r="A588" t="s">
        <v>376</v>
      </c>
      <c r="B588" t="s">
        <v>340</v>
      </c>
      <c r="C588" t="s">
        <v>32</v>
      </c>
      <c r="D588">
        <v>15</v>
      </c>
      <c r="E588">
        <v>14</v>
      </c>
      <c r="F588">
        <v>1</v>
      </c>
      <c r="G588">
        <v>370</v>
      </c>
      <c r="H588" t="s">
        <v>379</v>
      </c>
      <c r="I588">
        <v>28.46</v>
      </c>
      <c r="J588">
        <v>313</v>
      </c>
      <c r="K588">
        <v>118.21</v>
      </c>
      <c r="L588">
        <v>0</v>
      </c>
      <c r="M588">
        <v>1</v>
      </c>
      <c r="N588">
        <v>0</v>
      </c>
      <c r="O588">
        <v>39</v>
      </c>
      <c r="P588">
        <v>5</v>
      </c>
      <c r="Q588" t="s">
        <v>37</v>
      </c>
      <c r="R588" t="s">
        <v>37</v>
      </c>
      <c r="S588" t="s">
        <v>37</v>
      </c>
      <c r="T588" t="s">
        <v>37</v>
      </c>
      <c r="U588" t="s">
        <v>37</v>
      </c>
      <c r="V588" t="s">
        <v>37</v>
      </c>
      <c r="W588" t="s">
        <v>37</v>
      </c>
      <c r="X588" t="s">
        <v>37</v>
      </c>
      <c r="Y588" t="s">
        <v>37</v>
      </c>
      <c r="Z588" t="s">
        <v>37</v>
      </c>
      <c r="AA588" t="s">
        <v>37</v>
      </c>
      <c r="AB588">
        <v>4</v>
      </c>
      <c r="AC588">
        <v>0</v>
      </c>
      <c r="AD588">
        <f t="shared" ca="1" si="9"/>
        <v>15</v>
      </c>
      <c r="AE588" t="e">
        <f>AVERAGE(Table1[[#This Row],[Runs Conceded]]/Table1[[#This Row],[Wickets Taken]])</f>
        <v>#VALUE!</v>
      </c>
    </row>
    <row r="589" spans="1:31" x14ac:dyDescent="0.3">
      <c r="A589" t="s">
        <v>376</v>
      </c>
      <c r="B589" t="s">
        <v>340</v>
      </c>
      <c r="C589" t="s">
        <v>92</v>
      </c>
      <c r="D589">
        <v>14</v>
      </c>
      <c r="E589">
        <v>13</v>
      </c>
      <c r="F589">
        <v>1</v>
      </c>
      <c r="G589">
        <v>393</v>
      </c>
      <c r="H589" t="s">
        <v>380</v>
      </c>
      <c r="I589">
        <v>32.75</v>
      </c>
      <c r="J589">
        <v>285</v>
      </c>
      <c r="K589">
        <v>137.88999999999999</v>
      </c>
      <c r="L589">
        <v>1</v>
      </c>
      <c r="M589">
        <v>1</v>
      </c>
      <c r="N589">
        <v>1</v>
      </c>
      <c r="O589">
        <v>45</v>
      </c>
      <c r="P589">
        <v>9</v>
      </c>
      <c r="Q589" t="s">
        <v>37</v>
      </c>
      <c r="R589" t="s">
        <v>37</v>
      </c>
      <c r="S589" t="s">
        <v>37</v>
      </c>
      <c r="T589" t="s">
        <v>37</v>
      </c>
      <c r="U589" t="s">
        <v>37</v>
      </c>
      <c r="V589" t="s">
        <v>37</v>
      </c>
      <c r="W589" t="s">
        <v>37</v>
      </c>
      <c r="X589" t="s">
        <v>37</v>
      </c>
      <c r="Y589" t="s">
        <v>37</v>
      </c>
      <c r="Z589" t="s">
        <v>37</v>
      </c>
      <c r="AA589" t="s">
        <v>37</v>
      </c>
      <c r="AB589">
        <v>5</v>
      </c>
      <c r="AC589">
        <v>0</v>
      </c>
      <c r="AD589">
        <f t="shared" ca="1" si="9"/>
        <v>6</v>
      </c>
      <c r="AE589" t="e">
        <f>AVERAGE(Table1[[#This Row],[Runs Conceded]]/Table1[[#This Row],[Wickets Taken]])</f>
        <v>#VALUE!</v>
      </c>
    </row>
    <row r="590" spans="1:31" x14ac:dyDescent="0.3">
      <c r="A590" t="s">
        <v>376</v>
      </c>
      <c r="B590" t="s">
        <v>353</v>
      </c>
      <c r="C590" t="s">
        <v>32</v>
      </c>
      <c r="D590">
        <v>1</v>
      </c>
      <c r="E590" t="s">
        <v>37</v>
      </c>
      <c r="F590" t="s">
        <v>37</v>
      </c>
      <c r="G590" t="s">
        <v>37</v>
      </c>
      <c r="H590" t="s">
        <v>37</v>
      </c>
      <c r="I590" t="s">
        <v>37</v>
      </c>
      <c r="J590" t="s">
        <v>37</v>
      </c>
      <c r="K590" t="s">
        <v>37</v>
      </c>
      <c r="L590" t="s">
        <v>37</v>
      </c>
      <c r="M590" t="s">
        <v>37</v>
      </c>
      <c r="N590" t="s">
        <v>37</v>
      </c>
      <c r="O590" t="s">
        <v>37</v>
      </c>
      <c r="P590" t="s">
        <v>37</v>
      </c>
      <c r="Q590">
        <v>1</v>
      </c>
      <c r="R590">
        <v>1</v>
      </c>
      <c r="S590">
        <v>0</v>
      </c>
      <c r="T590">
        <v>11</v>
      </c>
      <c r="U590">
        <v>0</v>
      </c>
      <c r="V590" t="s">
        <v>37</v>
      </c>
      <c r="W590" t="s">
        <v>37</v>
      </c>
      <c r="X590">
        <v>11</v>
      </c>
      <c r="Y590" t="s">
        <v>37</v>
      </c>
      <c r="Z590">
        <v>0</v>
      </c>
      <c r="AA590">
        <v>0</v>
      </c>
      <c r="AB590">
        <v>0</v>
      </c>
      <c r="AC590">
        <v>0</v>
      </c>
      <c r="AD590">
        <f t="shared" ca="1" si="9"/>
        <v>4</v>
      </c>
      <c r="AE590" t="e">
        <f>AVERAGE(Table1[[#This Row],[Runs Conceded]]/Table1[[#This Row],[Wickets Taken]])</f>
        <v>#DIV/0!</v>
      </c>
    </row>
    <row r="591" spans="1:31" x14ac:dyDescent="0.3">
      <c r="A591" t="s">
        <v>376</v>
      </c>
      <c r="B591" t="s">
        <v>361</v>
      </c>
      <c r="C591" t="s">
        <v>32</v>
      </c>
      <c r="D591">
        <v>13</v>
      </c>
      <c r="E591">
        <v>13</v>
      </c>
      <c r="F591">
        <v>1</v>
      </c>
      <c r="G591">
        <v>196</v>
      </c>
      <c r="H591">
        <v>45</v>
      </c>
      <c r="I591">
        <v>16.329999999999998</v>
      </c>
      <c r="J591">
        <v>161</v>
      </c>
      <c r="K591">
        <v>121.73</v>
      </c>
      <c r="L591">
        <v>0</v>
      </c>
      <c r="M591">
        <v>0</v>
      </c>
      <c r="N591">
        <v>1</v>
      </c>
      <c r="O591">
        <v>13</v>
      </c>
      <c r="P591">
        <v>6</v>
      </c>
      <c r="Q591">
        <v>12</v>
      </c>
      <c r="R591">
        <v>37</v>
      </c>
      <c r="S591">
        <v>1</v>
      </c>
      <c r="T591">
        <v>303</v>
      </c>
      <c r="U591">
        <v>8</v>
      </c>
      <c r="V591" s="1">
        <v>42064</v>
      </c>
      <c r="W591">
        <v>37.869999999999997</v>
      </c>
      <c r="X591">
        <v>8.18</v>
      </c>
      <c r="Y591">
        <v>27.7</v>
      </c>
      <c r="Z591">
        <v>0</v>
      </c>
      <c r="AA591">
        <v>0</v>
      </c>
      <c r="AB591">
        <v>6</v>
      </c>
      <c r="AC591">
        <v>0</v>
      </c>
      <c r="AD591">
        <f t="shared" ca="1" si="9"/>
        <v>12</v>
      </c>
      <c r="AE591">
        <f>AVERAGE(Table1[[#This Row],[Runs Conceded]]/Table1[[#This Row],[Wickets Taken]])</f>
        <v>37.875</v>
      </c>
    </row>
    <row r="592" spans="1:31" x14ac:dyDescent="0.3">
      <c r="A592" t="s">
        <v>376</v>
      </c>
      <c r="B592" t="s">
        <v>361</v>
      </c>
      <c r="C592" t="s">
        <v>92</v>
      </c>
      <c r="D592">
        <v>9</v>
      </c>
      <c r="E592">
        <v>9</v>
      </c>
      <c r="F592">
        <v>3</v>
      </c>
      <c r="G592">
        <v>123</v>
      </c>
      <c r="H592">
        <v>46</v>
      </c>
      <c r="I592">
        <v>20.5</v>
      </c>
      <c r="J592">
        <v>99</v>
      </c>
      <c r="K592">
        <v>124.24</v>
      </c>
      <c r="L592">
        <v>0</v>
      </c>
      <c r="M592">
        <v>0</v>
      </c>
      <c r="N592">
        <v>1</v>
      </c>
      <c r="O592">
        <v>8</v>
      </c>
      <c r="P592">
        <v>4</v>
      </c>
      <c r="Q592">
        <v>6</v>
      </c>
      <c r="R592">
        <v>16.5</v>
      </c>
      <c r="S592">
        <v>0</v>
      </c>
      <c r="T592">
        <v>189</v>
      </c>
      <c r="U592">
        <v>6</v>
      </c>
      <c r="V592" s="1">
        <v>14277</v>
      </c>
      <c r="W592">
        <v>31.5</v>
      </c>
      <c r="X592">
        <v>11.22</v>
      </c>
      <c r="Y592">
        <v>16.8</v>
      </c>
      <c r="Z592">
        <v>0</v>
      </c>
      <c r="AA592">
        <v>0</v>
      </c>
      <c r="AB592">
        <v>3</v>
      </c>
      <c r="AC592">
        <v>0</v>
      </c>
      <c r="AD592">
        <f t="shared" ca="1" si="9"/>
        <v>6</v>
      </c>
      <c r="AE592">
        <f>AVERAGE(Table1[[#This Row],[Runs Conceded]]/Table1[[#This Row],[Wickets Taken]])</f>
        <v>31.5</v>
      </c>
    </row>
    <row r="593" spans="1:31" x14ac:dyDescent="0.3">
      <c r="A593" t="s">
        <v>376</v>
      </c>
      <c r="B593" t="s">
        <v>363</v>
      </c>
      <c r="C593" t="s">
        <v>32</v>
      </c>
      <c r="D593">
        <v>12</v>
      </c>
      <c r="E593">
        <v>12</v>
      </c>
      <c r="F593">
        <v>3</v>
      </c>
      <c r="G593">
        <v>226</v>
      </c>
      <c r="H593" t="s">
        <v>171</v>
      </c>
      <c r="I593">
        <v>25.11</v>
      </c>
      <c r="J593">
        <v>167</v>
      </c>
      <c r="K593">
        <v>135.32</v>
      </c>
      <c r="L593">
        <v>0</v>
      </c>
      <c r="M593">
        <v>1</v>
      </c>
      <c r="N593">
        <v>0</v>
      </c>
      <c r="O593">
        <v>18</v>
      </c>
      <c r="P593">
        <v>8</v>
      </c>
      <c r="Q593" t="s">
        <v>37</v>
      </c>
      <c r="R593" t="s">
        <v>37</v>
      </c>
      <c r="S593" t="s">
        <v>37</v>
      </c>
      <c r="T593" t="s">
        <v>37</v>
      </c>
      <c r="U593" t="s">
        <v>37</v>
      </c>
      <c r="V593" t="s">
        <v>37</v>
      </c>
      <c r="W593" t="s">
        <v>37</v>
      </c>
      <c r="X593" t="s">
        <v>37</v>
      </c>
      <c r="Y593" t="s">
        <v>37</v>
      </c>
      <c r="Z593" t="s">
        <v>37</v>
      </c>
      <c r="AA593" t="s">
        <v>37</v>
      </c>
      <c r="AB593">
        <v>4</v>
      </c>
      <c r="AC593">
        <v>0</v>
      </c>
      <c r="AD593">
        <f t="shared" ca="1" si="9"/>
        <v>9</v>
      </c>
      <c r="AE593" t="e">
        <f>AVERAGE(Table1[[#This Row],[Runs Conceded]]/Table1[[#This Row],[Wickets Taken]])</f>
        <v>#VALUE!</v>
      </c>
    </row>
    <row r="594" spans="1:31" x14ac:dyDescent="0.3">
      <c r="A594" t="s">
        <v>376</v>
      </c>
      <c r="B594" t="s">
        <v>363</v>
      </c>
      <c r="C594" t="s">
        <v>92</v>
      </c>
      <c r="D594">
        <v>8</v>
      </c>
      <c r="E594">
        <v>7</v>
      </c>
      <c r="F594">
        <v>1</v>
      </c>
      <c r="G594">
        <v>141</v>
      </c>
      <c r="H594">
        <v>50</v>
      </c>
      <c r="I594">
        <v>23.5</v>
      </c>
      <c r="J594">
        <v>118</v>
      </c>
      <c r="K594">
        <v>119.49</v>
      </c>
      <c r="L594">
        <v>0</v>
      </c>
      <c r="M594">
        <v>1</v>
      </c>
      <c r="N594">
        <v>0</v>
      </c>
      <c r="O594">
        <v>13</v>
      </c>
      <c r="P594">
        <v>2</v>
      </c>
      <c r="Q594" t="s">
        <v>37</v>
      </c>
      <c r="R594" t="s">
        <v>37</v>
      </c>
      <c r="S594" t="s">
        <v>37</v>
      </c>
      <c r="T594" t="s">
        <v>37</v>
      </c>
      <c r="U594" t="s">
        <v>37</v>
      </c>
      <c r="V594" t="s">
        <v>37</v>
      </c>
      <c r="W594" t="s">
        <v>37</v>
      </c>
      <c r="X594" t="s">
        <v>37</v>
      </c>
      <c r="Y594" t="s">
        <v>37</v>
      </c>
      <c r="Z594" t="s">
        <v>37</v>
      </c>
      <c r="AA594" t="s">
        <v>37</v>
      </c>
      <c r="AB594">
        <v>3</v>
      </c>
      <c r="AC594">
        <v>0</v>
      </c>
      <c r="AD594">
        <f t="shared" ca="1" si="9"/>
        <v>8</v>
      </c>
      <c r="AE594" t="e">
        <f>AVERAGE(Table1[[#This Row],[Runs Conceded]]/Table1[[#This Row],[Wickets Taken]])</f>
        <v>#VALUE!</v>
      </c>
    </row>
    <row r="595" spans="1:31" x14ac:dyDescent="0.3">
      <c r="A595" t="s">
        <v>376</v>
      </c>
      <c r="B595" t="s">
        <v>381</v>
      </c>
      <c r="C595" t="s">
        <v>32</v>
      </c>
      <c r="D595">
        <v>2</v>
      </c>
      <c r="E595">
        <v>2</v>
      </c>
      <c r="F595">
        <v>1</v>
      </c>
      <c r="G595">
        <v>20</v>
      </c>
      <c r="H595">
        <v>11</v>
      </c>
      <c r="I595">
        <v>20</v>
      </c>
      <c r="J595">
        <v>21</v>
      </c>
      <c r="K595">
        <v>95.23</v>
      </c>
      <c r="L595">
        <v>0</v>
      </c>
      <c r="M595">
        <v>0</v>
      </c>
      <c r="N595">
        <v>0</v>
      </c>
      <c r="O595">
        <v>1</v>
      </c>
      <c r="P595">
        <v>0</v>
      </c>
      <c r="Q595">
        <v>2</v>
      </c>
      <c r="R595">
        <v>3</v>
      </c>
      <c r="S595">
        <v>0</v>
      </c>
      <c r="T595">
        <v>27</v>
      </c>
      <c r="U595">
        <v>0</v>
      </c>
      <c r="V595" t="s">
        <v>37</v>
      </c>
      <c r="W595" t="s">
        <v>37</v>
      </c>
      <c r="X595">
        <v>9</v>
      </c>
      <c r="Y595" t="s">
        <v>37</v>
      </c>
      <c r="Z595">
        <v>0</v>
      </c>
      <c r="AA595">
        <v>0</v>
      </c>
      <c r="AB595">
        <v>0</v>
      </c>
      <c r="AC595">
        <v>0</v>
      </c>
      <c r="AD595">
        <f t="shared" ca="1" si="9"/>
        <v>9</v>
      </c>
      <c r="AE595" t="e">
        <f>AVERAGE(Table1[[#This Row],[Runs Conceded]]/Table1[[#This Row],[Wickets Taken]])</f>
        <v>#DIV/0!</v>
      </c>
    </row>
    <row r="596" spans="1:31" x14ac:dyDescent="0.3">
      <c r="A596" t="s">
        <v>376</v>
      </c>
      <c r="B596" t="s">
        <v>381</v>
      </c>
      <c r="C596" t="s">
        <v>92</v>
      </c>
      <c r="D596">
        <v>2</v>
      </c>
      <c r="E596">
        <v>1</v>
      </c>
      <c r="F596">
        <v>0</v>
      </c>
      <c r="G596">
        <v>8</v>
      </c>
      <c r="H596">
        <v>8</v>
      </c>
      <c r="I596">
        <v>8</v>
      </c>
      <c r="J596">
        <v>3</v>
      </c>
      <c r="K596">
        <v>266.66000000000003</v>
      </c>
      <c r="L596">
        <v>0</v>
      </c>
      <c r="M596">
        <v>0</v>
      </c>
      <c r="N596">
        <v>0</v>
      </c>
      <c r="O596">
        <v>2</v>
      </c>
      <c r="P596">
        <v>0</v>
      </c>
      <c r="Q596" t="s">
        <v>37</v>
      </c>
      <c r="R596" t="s">
        <v>37</v>
      </c>
      <c r="S596" t="s">
        <v>37</v>
      </c>
      <c r="T596" t="s">
        <v>37</v>
      </c>
      <c r="U596" t="s">
        <v>37</v>
      </c>
      <c r="V596" t="s">
        <v>37</v>
      </c>
      <c r="W596" t="s">
        <v>37</v>
      </c>
      <c r="X596" t="s">
        <v>37</v>
      </c>
      <c r="Y596" t="s">
        <v>37</v>
      </c>
      <c r="Z596" t="s">
        <v>37</v>
      </c>
      <c r="AA596" t="s">
        <v>37</v>
      </c>
      <c r="AB596">
        <v>1</v>
      </c>
      <c r="AC596">
        <v>0</v>
      </c>
      <c r="AD596">
        <f t="shared" ca="1" si="9"/>
        <v>10</v>
      </c>
      <c r="AE596" t="e">
        <f>AVERAGE(Table1[[#This Row],[Runs Conceded]]/Table1[[#This Row],[Wickets Taken]])</f>
        <v>#VALUE!</v>
      </c>
    </row>
    <row r="597" spans="1:31" x14ac:dyDescent="0.3">
      <c r="A597" t="s">
        <v>376</v>
      </c>
      <c r="B597" t="s">
        <v>284</v>
      </c>
      <c r="C597" t="s">
        <v>32</v>
      </c>
      <c r="D597">
        <v>4</v>
      </c>
      <c r="E597">
        <v>4</v>
      </c>
      <c r="F597">
        <v>1</v>
      </c>
      <c r="G597">
        <v>57</v>
      </c>
      <c r="H597">
        <v>32</v>
      </c>
      <c r="I597">
        <v>19</v>
      </c>
      <c r="J597">
        <v>47</v>
      </c>
      <c r="K597">
        <v>121.27</v>
      </c>
      <c r="L597">
        <v>0</v>
      </c>
      <c r="M597">
        <v>0</v>
      </c>
      <c r="N597">
        <v>1</v>
      </c>
      <c r="O597">
        <v>5</v>
      </c>
      <c r="P597">
        <v>1</v>
      </c>
      <c r="Q597" t="s">
        <v>37</v>
      </c>
      <c r="R597" t="s">
        <v>37</v>
      </c>
      <c r="S597" t="s">
        <v>37</v>
      </c>
      <c r="T597" t="s">
        <v>37</v>
      </c>
      <c r="U597" t="s">
        <v>37</v>
      </c>
      <c r="V597" t="s">
        <v>37</v>
      </c>
      <c r="W597" t="s">
        <v>37</v>
      </c>
      <c r="X597" t="s">
        <v>37</v>
      </c>
      <c r="Y597" t="s">
        <v>37</v>
      </c>
      <c r="Z597" t="s">
        <v>37</v>
      </c>
      <c r="AA597" t="s">
        <v>37</v>
      </c>
      <c r="AB597">
        <v>3</v>
      </c>
      <c r="AC597">
        <v>4</v>
      </c>
      <c r="AD597">
        <f t="shared" ca="1" si="9"/>
        <v>6</v>
      </c>
      <c r="AE597" t="e">
        <f>AVERAGE(Table1[[#This Row],[Runs Conceded]]/Table1[[#This Row],[Wickets Taken]])</f>
        <v>#VALUE!</v>
      </c>
    </row>
    <row r="598" spans="1:31" x14ac:dyDescent="0.3">
      <c r="A598" t="s">
        <v>376</v>
      </c>
      <c r="B598" t="s">
        <v>382</v>
      </c>
      <c r="C598" t="s">
        <v>32</v>
      </c>
      <c r="D598">
        <v>7</v>
      </c>
      <c r="E598">
        <v>7</v>
      </c>
      <c r="F598">
        <v>0</v>
      </c>
      <c r="G598">
        <v>115</v>
      </c>
      <c r="H598">
        <v>44</v>
      </c>
      <c r="I598">
        <v>16.420000000000002</v>
      </c>
      <c r="J598">
        <v>99</v>
      </c>
      <c r="K598">
        <v>116.16</v>
      </c>
      <c r="L598">
        <v>0</v>
      </c>
      <c r="M598">
        <v>0</v>
      </c>
      <c r="N598">
        <v>0</v>
      </c>
      <c r="O598">
        <v>11</v>
      </c>
      <c r="P598">
        <v>5</v>
      </c>
      <c r="Q598">
        <v>2</v>
      </c>
      <c r="R598">
        <v>3</v>
      </c>
      <c r="S598">
        <v>0</v>
      </c>
      <c r="T598">
        <v>19</v>
      </c>
      <c r="U598">
        <v>1</v>
      </c>
      <c r="V598" s="2">
        <v>44105</v>
      </c>
      <c r="W598">
        <v>19</v>
      </c>
      <c r="X598">
        <v>6.33</v>
      </c>
      <c r="Y598">
        <v>18</v>
      </c>
      <c r="Z598">
        <v>0</v>
      </c>
      <c r="AA598">
        <v>0</v>
      </c>
      <c r="AB598">
        <v>2</v>
      </c>
      <c r="AC598">
        <v>0</v>
      </c>
      <c r="AD598">
        <f t="shared" ca="1" si="9"/>
        <v>18</v>
      </c>
      <c r="AE598">
        <f>AVERAGE(Table1[[#This Row],[Runs Conceded]]/Table1[[#This Row],[Wickets Taken]])</f>
        <v>19</v>
      </c>
    </row>
    <row r="599" spans="1:31" x14ac:dyDescent="0.3">
      <c r="A599" t="s">
        <v>376</v>
      </c>
      <c r="B599" t="s">
        <v>383</v>
      </c>
      <c r="C599" t="s">
        <v>32</v>
      </c>
      <c r="D599">
        <v>15</v>
      </c>
      <c r="E599">
        <v>13</v>
      </c>
      <c r="F599">
        <v>4</v>
      </c>
      <c r="G599">
        <v>126</v>
      </c>
      <c r="H599" t="s">
        <v>134</v>
      </c>
      <c r="I599">
        <v>14</v>
      </c>
      <c r="J599">
        <v>64</v>
      </c>
      <c r="K599">
        <v>196.87</v>
      </c>
      <c r="L599">
        <v>0</v>
      </c>
      <c r="M599">
        <v>0</v>
      </c>
      <c r="N599">
        <v>1</v>
      </c>
      <c r="O599">
        <v>9</v>
      </c>
      <c r="P599">
        <v>9</v>
      </c>
      <c r="Q599">
        <v>15</v>
      </c>
      <c r="R599">
        <v>40</v>
      </c>
      <c r="S599">
        <v>0</v>
      </c>
      <c r="T599">
        <v>312</v>
      </c>
      <c r="U599">
        <v>11</v>
      </c>
      <c r="V599" s="2">
        <v>44167</v>
      </c>
      <c r="W599">
        <v>28.36</v>
      </c>
      <c r="X599">
        <v>7.8</v>
      </c>
      <c r="Y599">
        <v>21.8</v>
      </c>
      <c r="Z599">
        <v>0</v>
      </c>
      <c r="AA599">
        <v>0</v>
      </c>
      <c r="AB599">
        <v>10</v>
      </c>
      <c r="AC599">
        <v>0</v>
      </c>
      <c r="AD599">
        <f t="shared" ca="1" si="9"/>
        <v>16</v>
      </c>
      <c r="AE599">
        <f>AVERAGE(Table1[[#This Row],[Runs Conceded]]/Table1[[#This Row],[Wickets Taken]])</f>
        <v>28.363636363636363</v>
      </c>
    </row>
    <row r="600" spans="1:31" x14ac:dyDescent="0.3">
      <c r="A600" t="s">
        <v>376</v>
      </c>
      <c r="B600" t="s">
        <v>383</v>
      </c>
      <c r="C600" t="s">
        <v>92</v>
      </c>
      <c r="D600">
        <v>7</v>
      </c>
      <c r="E600">
        <v>4</v>
      </c>
      <c r="F600">
        <v>1</v>
      </c>
      <c r="G600">
        <v>18</v>
      </c>
      <c r="H600">
        <v>9</v>
      </c>
      <c r="I600">
        <v>6</v>
      </c>
      <c r="J600">
        <v>19</v>
      </c>
      <c r="K600">
        <v>94.73</v>
      </c>
      <c r="L600">
        <v>0</v>
      </c>
      <c r="M600">
        <v>0</v>
      </c>
      <c r="N600">
        <v>0</v>
      </c>
      <c r="O600">
        <v>1</v>
      </c>
      <c r="P600">
        <v>1</v>
      </c>
      <c r="Q600">
        <v>7</v>
      </c>
      <c r="R600">
        <v>20</v>
      </c>
      <c r="S600">
        <v>0</v>
      </c>
      <c r="T600">
        <v>166</v>
      </c>
      <c r="U600">
        <v>1</v>
      </c>
      <c r="V600" s="1">
        <v>11689</v>
      </c>
      <c r="W600">
        <v>166</v>
      </c>
      <c r="X600">
        <v>8.3000000000000007</v>
      </c>
      <c r="Y600">
        <v>120</v>
      </c>
      <c r="Z600">
        <v>0</v>
      </c>
      <c r="AA600">
        <v>0</v>
      </c>
      <c r="AB600">
        <v>0</v>
      </c>
      <c r="AC600">
        <v>0</v>
      </c>
      <c r="AD600">
        <f t="shared" ca="1" si="9"/>
        <v>13</v>
      </c>
      <c r="AE600">
        <f>AVERAGE(Table1[[#This Row],[Runs Conceded]]/Table1[[#This Row],[Wickets Taken]])</f>
        <v>166</v>
      </c>
    </row>
    <row r="601" spans="1:31" x14ac:dyDescent="0.3">
      <c r="A601" t="s">
        <v>376</v>
      </c>
      <c r="B601" t="s">
        <v>384</v>
      </c>
      <c r="C601" t="s">
        <v>32</v>
      </c>
      <c r="D601">
        <v>1</v>
      </c>
      <c r="E601">
        <v>1</v>
      </c>
      <c r="F601">
        <v>0</v>
      </c>
      <c r="G601">
        <v>8</v>
      </c>
      <c r="H601">
        <v>8</v>
      </c>
      <c r="I601">
        <v>8</v>
      </c>
      <c r="J601">
        <v>6</v>
      </c>
      <c r="K601">
        <v>133.33000000000001</v>
      </c>
      <c r="L601">
        <v>0</v>
      </c>
      <c r="M601">
        <v>0</v>
      </c>
      <c r="N601">
        <v>0</v>
      </c>
      <c r="O601">
        <v>2</v>
      </c>
      <c r="P601">
        <v>0</v>
      </c>
      <c r="Q601" t="s">
        <v>37</v>
      </c>
      <c r="R601" t="s">
        <v>37</v>
      </c>
      <c r="S601" t="s">
        <v>37</v>
      </c>
      <c r="T601" t="s">
        <v>37</v>
      </c>
      <c r="U601" t="s">
        <v>37</v>
      </c>
      <c r="V601" t="s">
        <v>37</v>
      </c>
      <c r="W601" t="s">
        <v>37</v>
      </c>
      <c r="X601" t="s">
        <v>37</v>
      </c>
      <c r="Y601" t="s">
        <v>37</v>
      </c>
      <c r="Z601" t="s">
        <v>37</v>
      </c>
      <c r="AA601" t="s">
        <v>37</v>
      </c>
      <c r="AB601">
        <v>0</v>
      </c>
      <c r="AC601">
        <v>0</v>
      </c>
      <c r="AD601">
        <f t="shared" ca="1" si="9"/>
        <v>3</v>
      </c>
      <c r="AE601" t="e">
        <f>AVERAGE(Table1[[#This Row],[Runs Conceded]]/Table1[[#This Row],[Wickets Taken]])</f>
        <v>#VALUE!</v>
      </c>
    </row>
    <row r="602" spans="1:31" x14ac:dyDescent="0.3">
      <c r="A602" t="s">
        <v>376</v>
      </c>
      <c r="B602" t="s">
        <v>384</v>
      </c>
      <c r="C602" t="s">
        <v>92</v>
      </c>
      <c r="D602">
        <v>1</v>
      </c>
      <c r="E602" t="s">
        <v>37</v>
      </c>
      <c r="F602" t="s">
        <v>37</v>
      </c>
      <c r="G602" t="s">
        <v>37</v>
      </c>
      <c r="H602" t="s">
        <v>37</v>
      </c>
      <c r="I602" t="s">
        <v>37</v>
      </c>
      <c r="J602" t="s">
        <v>37</v>
      </c>
      <c r="K602" t="s">
        <v>37</v>
      </c>
      <c r="L602" t="s">
        <v>37</v>
      </c>
      <c r="M602" t="s">
        <v>37</v>
      </c>
      <c r="N602" t="s">
        <v>37</v>
      </c>
      <c r="O602" t="s">
        <v>37</v>
      </c>
      <c r="P602" t="s">
        <v>37</v>
      </c>
      <c r="Q602" t="s">
        <v>37</v>
      </c>
      <c r="R602" t="s">
        <v>37</v>
      </c>
      <c r="S602" t="s">
        <v>37</v>
      </c>
      <c r="T602" t="s">
        <v>37</v>
      </c>
      <c r="U602" t="s">
        <v>37</v>
      </c>
      <c r="V602" t="s">
        <v>37</v>
      </c>
      <c r="W602" t="s">
        <v>37</v>
      </c>
      <c r="X602" t="s">
        <v>37</v>
      </c>
      <c r="Y602" t="s">
        <v>37</v>
      </c>
      <c r="Z602" t="s">
        <v>37</v>
      </c>
      <c r="AA602" t="s">
        <v>37</v>
      </c>
      <c r="AB602">
        <v>0</v>
      </c>
      <c r="AC602">
        <v>0</v>
      </c>
      <c r="AD602">
        <f t="shared" ca="1" si="9"/>
        <v>3</v>
      </c>
      <c r="AE602" t="e">
        <f>AVERAGE(Table1[[#This Row],[Runs Conceded]]/Table1[[#This Row],[Wickets Taken]])</f>
        <v>#VALUE!</v>
      </c>
    </row>
    <row r="603" spans="1:31" x14ac:dyDescent="0.3">
      <c r="A603" t="s">
        <v>376</v>
      </c>
      <c r="B603" t="s">
        <v>385</v>
      </c>
      <c r="C603" t="s">
        <v>32</v>
      </c>
      <c r="D603">
        <v>10</v>
      </c>
      <c r="E603">
        <v>8</v>
      </c>
      <c r="F603">
        <v>3</v>
      </c>
      <c r="G603">
        <v>15</v>
      </c>
      <c r="H603">
        <v>8</v>
      </c>
      <c r="I603">
        <v>3</v>
      </c>
      <c r="J603">
        <v>21</v>
      </c>
      <c r="K603">
        <v>71.42</v>
      </c>
      <c r="L603">
        <v>0</v>
      </c>
      <c r="M603">
        <v>0</v>
      </c>
      <c r="N603">
        <v>3</v>
      </c>
      <c r="O603">
        <v>2</v>
      </c>
      <c r="P603">
        <v>0</v>
      </c>
      <c r="Q603">
        <v>10</v>
      </c>
      <c r="R603">
        <v>38.5</v>
      </c>
      <c r="S603">
        <v>0</v>
      </c>
      <c r="T603">
        <v>325</v>
      </c>
      <c r="U603">
        <v>15</v>
      </c>
      <c r="V603" s="1">
        <v>44621</v>
      </c>
      <c r="W603">
        <v>21.66</v>
      </c>
      <c r="X603">
        <v>8.36</v>
      </c>
      <c r="Y603">
        <v>15.5</v>
      </c>
      <c r="Z603">
        <v>0</v>
      </c>
      <c r="AA603">
        <v>0</v>
      </c>
      <c r="AB603">
        <v>1</v>
      </c>
      <c r="AC603">
        <v>0</v>
      </c>
      <c r="AD603">
        <f t="shared" ca="1" si="9"/>
        <v>5</v>
      </c>
      <c r="AE603">
        <f>AVERAGE(Table1[[#This Row],[Runs Conceded]]/Table1[[#This Row],[Wickets Taken]])</f>
        <v>21.666666666666668</v>
      </c>
    </row>
    <row r="604" spans="1:31" x14ac:dyDescent="0.3">
      <c r="A604" t="s">
        <v>376</v>
      </c>
      <c r="B604" t="s">
        <v>385</v>
      </c>
      <c r="C604" t="s">
        <v>92</v>
      </c>
      <c r="D604">
        <v>11</v>
      </c>
      <c r="E604">
        <v>5</v>
      </c>
      <c r="F604">
        <v>3</v>
      </c>
      <c r="G604">
        <v>67</v>
      </c>
      <c r="H604" t="s">
        <v>33</v>
      </c>
      <c r="I604">
        <v>33.5</v>
      </c>
      <c r="J604">
        <v>40</v>
      </c>
      <c r="K604">
        <v>167.5</v>
      </c>
      <c r="L604">
        <v>0</v>
      </c>
      <c r="M604">
        <v>0</v>
      </c>
      <c r="N604">
        <v>0</v>
      </c>
      <c r="O604">
        <v>4</v>
      </c>
      <c r="P604">
        <v>4</v>
      </c>
      <c r="Q604">
        <v>11</v>
      </c>
      <c r="R604">
        <v>43</v>
      </c>
      <c r="S604">
        <v>2</v>
      </c>
      <c r="T604">
        <v>291</v>
      </c>
      <c r="U604">
        <v>11</v>
      </c>
      <c r="V604" s="1">
        <v>42064</v>
      </c>
      <c r="W604">
        <v>26.45</v>
      </c>
      <c r="X604">
        <v>6.76</v>
      </c>
      <c r="Y604">
        <v>23.4</v>
      </c>
      <c r="Z604">
        <v>0</v>
      </c>
      <c r="AA604">
        <v>0</v>
      </c>
      <c r="AB604">
        <v>3</v>
      </c>
      <c r="AC604">
        <v>0</v>
      </c>
      <c r="AD604">
        <f t="shared" ca="1" si="9"/>
        <v>16</v>
      </c>
      <c r="AE604">
        <f>AVERAGE(Table1[[#This Row],[Runs Conceded]]/Table1[[#This Row],[Wickets Taken]])</f>
        <v>26.454545454545453</v>
      </c>
    </row>
    <row r="605" spans="1:31" x14ac:dyDescent="0.3">
      <c r="A605" t="s">
        <v>376</v>
      </c>
      <c r="B605" t="s">
        <v>386</v>
      </c>
      <c r="C605" t="s">
        <v>32</v>
      </c>
      <c r="D605">
        <v>7</v>
      </c>
      <c r="E605">
        <v>2</v>
      </c>
      <c r="F605">
        <v>1</v>
      </c>
      <c r="G605">
        <v>1</v>
      </c>
      <c r="H605" t="s">
        <v>55</v>
      </c>
      <c r="I605">
        <v>1</v>
      </c>
      <c r="J605">
        <v>4</v>
      </c>
      <c r="K605">
        <v>25</v>
      </c>
      <c r="L605">
        <v>0</v>
      </c>
      <c r="M605">
        <v>0</v>
      </c>
      <c r="N605">
        <v>1</v>
      </c>
      <c r="O605">
        <v>0</v>
      </c>
      <c r="P605">
        <v>0</v>
      </c>
      <c r="Q605">
        <v>7</v>
      </c>
      <c r="R605">
        <v>20.5</v>
      </c>
      <c r="S605">
        <v>0</v>
      </c>
      <c r="T605">
        <v>211</v>
      </c>
      <c r="U605">
        <v>9</v>
      </c>
      <c r="V605" s="1">
        <v>42036</v>
      </c>
      <c r="W605">
        <v>23.44</v>
      </c>
      <c r="X605">
        <v>10.119999999999999</v>
      </c>
      <c r="Y605">
        <v>13.8</v>
      </c>
      <c r="Z605">
        <v>0</v>
      </c>
      <c r="AA605">
        <v>0</v>
      </c>
      <c r="AB605">
        <v>1</v>
      </c>
      <c r="AC605">
        <v>0</v>
      </c>
      <c r="AD605">
        <f t="shared" ca="1" si="9"/>
        <v>8</v>
      </c>
      <c r="AE605">
        <f>AVERAGE(Table1[[#This Row],[Runs Conceded]]/Table1[[#This Row],[Wickets Taken]])</f>
        <v>23.444444444444443</v>
      </c>
    </row>
    <row r="606" spans="1:31" x14ac:dyDescent="0.3">
      <c r="A606" t="s">
        <v>376</v>
      </c>
      <c r="B606" t="s">
        <v>387</v>
      </c>
      <c r="C606" t="s">
        <v>32</v>
      </c>
      <c r="D606">
        <v>6</v>
      </c>
      <c r="E606">
        <v>1</v>
      </c>
      <c r="F606">
        <v>0</v>
      </c>
      <c r="G606">
        <v>1</v>
      </c>
      <c r="H606">
        <v>1</v>
      </c>
      <c r="I606">
        <v>1</v>
      </c>
      <c r="J606">
        <v>6</v>
      </c>
      <c r="K606">
        <v>16.66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6</v>
      </c>
      <c r="R606">
        <v>23</v>
      </c>
      <c r="S606">
        <v>0</v>
      </c>
      <c r="T606">
        <v>135</v>
      </c>
      <c r="U606">
        <v>5</v>
      </c>
      <c r="V606" s="1">
        <v>41640</v>
      </c>
      <c r="W606">
        <v>27</v>
      </c>
      <c r="X606">
        <v>5.86</v>
      </c>
      <c r="Y606">
        <v>27.6</v>
      </c>
      <c r="Z606">
        <v>0</v>
      </c>
      <c r="AA606">
        <v>0</v>
      </c>
      <c r="AB606">
        <v>0</v>
      </c>
      <c r="AC606">
        <v>0</v>
      </c>
      <c r="AD606">
        <f t="shared" ca="1" si="9"/>
        <v>11</v>
      </c>
      <c r="AE606">
        <f>AVERAGE(Table1[[#This Row],[Runs Conceded]]/Table1[[#This Row],[Wickets Taken]])</f>
        <v>27</v>
      </c>
    </row>
    <row r="607" spans="1:31" x14ac:dyDescent="0.3">
      <c r="A607" t="s">
        <v>376</v>
      </c>
      <c r="B607" t="s">
        <v>387</v>
      </c>
      <c r="C607" t="s">
        <v>92</v>
      </c>
      <c r="D607">
        <v>2</v>
      </c>
      <c r="E607">
        <v>1</v>
      </c>
      <c r="F607">
        <v>0</v>
      </c>
      <c r="G607">
        <v>6</v>
      </c>
      <c r="H607">
        <v>6</v>
      </c>
      <c r="I607">
        <v>6</v>
      </c>
      <c r="J607">
        <v>11</v>
      </c>
      <c r="K607">
        <v>54.54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</v>
      </c>
      <c r="R607">
        <v>7.1</v>
      </c>
      <c r="S607">
        <v>1</v>
      </c>
      <c r="T607">
        <v>67</v>
      </c>
      <c r="U607">
        <v>4</v>
      </c>
      <c r="V607" s="1">
        <v>46082</v>
      </c>
      <c r="W607">
        <v>16.75</v>
      </c>
      <c r="X607">
        <v>9.34</v>
      </c>
      <c r="Y607">
        <v>10.7</v>
      </c>
      <c r="Z607">
        <v>0</v>
      </c>
      <c r="AA607">
        <v>0</v>
      </c>
      <c r="AB607">
        <v>0</v>
      </c>
      <c r="AC607">
        <v>0</v>
      </c>
      <c r="AD607">
        <f t="shared" ca="1" si="9"/>
        <v>8</v>
      </c>
      <c r="AE607">
        <f>AVERAGE(Table1[[#This Row],[Runs Conceded]]/Table1[[#This Row],[Wickets Taken]])</f>
        <v>16.75</v>
      </c>
    </row>
    <row r="608" spans="1:31" x14ac:dyDescent="0.3">
      <c r="A608" t="s">
        <v>376</v>
      </c>
      <c r="B608" t="s">
        <v>388</v>
      </c>
      <c r="C608" t="s">
        <v>92</v>
      </c>
      <c r="D608">
        <v>7</v>
      </c>
      <c r="E608">
        <v>5</v>
      </c>
      <c r="F608">
        <v>0</v>
      </c>
      <c r="G608">
        <v>160</v>
      </c>
      <c r="H608">
        <v>50</v>
      </c>
      <c r="I608">
        <v>32</v>
      </c>
      <c r="J608">
        <v>126</v>
      </c>
      <c r="K608">
        <v>126.98</v>
      </c>
      <c r="L608">
        <v>0</v>
      </c>
      <c r="M608">
        <v>1</v>
      </c>
      <c r="N608">
        <v>0</v>
      </c>
      <c r="O608">
        <v>17</v>
      </c>
      <c r="P608">
        <v>5</v>
      </c>
      <c r="Q608">
        <v>7</v>
      </c>
      <c r="R608">
        <v>14</v>
      </c>
      <c r="S608">
        <v>0</v>
      </c>
      <c r="T608">
        <v>121</v>
      </c>
      <c r="U608">
        <v>2</v>
      </c>
      <c r="V608" s="2">
        <v>44105</v>
      </c>
      <c r="W608">
        <v>60.5</v>
      </c>
      <c r="X608">
        <v>8.64</v>
      </c>
      <c r="Y608">
        <v>42</v>
      </c>
      <c r="Z608">
        <v>0</v>
      </c>
      <c r="AA608">
        <v>0</v>
      </c>
      <c r="AB608">
        <v>5</v>
      </c>
      <c r="AC608">
        <v>0</v>
      </c>
      <c r="AD608">
        <f t="shared" ca="1" si="9"/>
        <v>4</v>
      </c>
      <c r="AE608">
        <f>AVERAGE(Table1[[#This Row],[Runs Conceded]]/Table1[[#This Row],[Wickets Taken]])</f>
        <v>60.5</v>
      </c>
    </row>
    <row r="609" spans="1:31" x14ac:dyDescent="0.3">
      <c r="A609" t="s">
        <v>376</v>
      </c>
      <c r="B609" t="s">
        <v>389</v>
      </c>
      <c r="C609" t="s">
        <v>92</v>
      </c>
      <c r="D609">
        <v>4</v>
      </c>
      <c r="E609">
        <v>4</v>
      </c>
      <c r="F609">
        <v>1</v>
      </c>
      <c r="G609">
        <v>70</v>
      </c>
      <c r="H609">
        <v>44</v>
      </c>
      <c r="I609">
        <v>23.33</v>
      </c>
      <c r="J609">
        <v>48</v>
      </c>
      <c r="K609">
        <v>145.83000000000001</v>
      </c>
      <c r="L609">
        <v>0</v>
      </c>
      <c r="M609">
        <v>0</v>
      </c>
      <c r="N609">
        <v>0</v>
      </c>
      <c r="O609">
        <v>6</v>
      </c>
      <c r="P609">
        <v>5</v>
      </c>
      <c r="Q609">
        <v>1</v>
      </c>
      <c r="R609">
        <v>1</v>
      </c>
      <c r="S609">
        <v>0</v>
      </c>
      <c r="T609">
        <v>13</v>
      </c>
      <c r="U609">
        <v>0</v>
      </c>
      <c r="V609" t="s">
        <v>37</v>
      </c>
      <c r="W609" t="s">
        <v>37</v>
      </c>
      <c r="X609">
        <v>13</v>
      </c>
      <c r="Y609" t="s">
        <v>37</v>
      </c>
      <c r="Z609">
        <v>0</v>
      </c>
      <c r="AA609">
        <v>0</v>
      </c>
      <c r="AB609">
        <v>4</v>
      </c>
      <c r="AC609">
        <v>0</v>
      </c>
      <c r="AD609">
        <f t="shared" ca="1" si="9"/>
        <v>12</v>
      </c>
      <c r="AE609" t="e">
        <f>AVERAGE(Table1[[#This Row],[Runs Conceded]]/Table1[[#This Row],[Wickets Taken]])</f>
        <v>#DIV/0!</v>
      </c>
    </row>
    <row r="610" spans="1:31" x14ac:dyDescent="0.3">
      <c r="A610" t="s">
        <v>376</v>
      </c>
      <c r="B610" t="s">
        <v>390</v>
      </c>
      <c r="C610" t="s">
        <v>92</v>
      </c>
      <c r="D610">
        <v>4</v>
      </c>
      <c r="E610">
        <v>4</v>
      </c>
      <c r="F610">
        <v>1</v>
      </c>
      <c r="G610">
        <v>3</v>
      </c>
      <c r="H610" t="s">
        <v>235</v>
      </c>
      <c r="I610">
        <v>1</v>
      </c>
      <c r="J610">
        <v>10</v>
      </c>
      <c r="K610">
        <v>30</v>
      </c>
      <c r="L610">
        <v>0</v>
      </c>
      <c r="M610">
        <v>0</v>
      </c>
      <c r="N610">
        <v>3</v>
      </c>
      <c r="O610">
        <v>0</v>
      </c>
      <c r="P610">
        <v>0</v>
      </c>
      <c r="Q610" t="s">
        <v>37</v>
      </c>
      <c r="R610" t="s">
        <v>37</v>
      </c>
      <c r="S610" t="s">
        <v>37</v>
      </c>
      <c r="T610" t="s">
        <v>37</v>
      </c>
      <c r="U610" t="s">
        <v>37</v>
      </c>
      <c r="V610" t="s">
        <v>37</v>
      </c>
      <c r="W610" t="s">
        <v>37</v>
      </c>
      <c r="X610" t="s">
        <v>37</v>
      </c>
      <c r="Y610" t="s">
        <v>37</v>
      </c>
      <c r="Z610" t="s">
        <v>37</v>
      </c>
      <c r="AA610" t="s">
        <v>37</v>
      </c>
      <c r="AB610">
        <v>0</v>
      </c>
      <c r="AC610">
        <v>0</v>
      </c>
      <c r="AD610">
        <f t="shared" ca="1" si="9"/>
        <v>11</v>
      </c>
      <c r="AE610" t="e">
        <f>AVERAGE(Table1[[#This Row],[Runs Conceded]]/Table1[[#This Row],[Wickets Taken]])</f>
        <v>#VALUE!</v>
      </c>
    </row>
    <row r="611" spans="1:31" x14ac:dyDescent="0.3">
      <c r="A611" t="s">
        <v>376</v>
      </c>
      <c r="B611" t="s">
        <v>391</v>
      </c>
      <c r="C611" t="s">
        <v>92</v>
      </c>
      <c r="D611">
        <v>1</v>
      </c>
      <c r="E611" t="s">
        <v>37</v>
      </c>
      <c r="F611" t="s">
        <v>37</v>
      </c>
      <c r="G611" t="s">
        <v>37</v>
      </c>
      <c r="H611" t="s">
        <v>37</v>
      </c>
      <c r="I611" t="s">
        <v>37</v>
      </c>
      <c r="J611" t="s">
        <v>37</v>
      </c>
      <c r="K611" t="s">
        <v>37</v>
      </c>
      <c r="L611" t="s">
        <v>37</v>
      </c>
      <c r="M611" t="s">
        <v>37</v>
      </c>
      <c r="N611" t="s">
        <v>37</v>
      </c>
      <c r="O611" t="s">
        <v>37</v>
      </c>
      <c r="P611" t="s">
        <v>37</v>
      </c>
      <c r="Q611">
        <v>1</v>
      </c>
      <c r="R611">
        <v>2</v>
      </c>
      <c r="S611">
        <v>0</v>
      </c>
      <c r="T611">
        <v>27</v>
      </c>
      <c r="U611">
        <v>0</v>
      </c>
      <c r="V611" t="s">
        <v>37</v>
      </c>
      <c r="W611" t="s">
        <v>37</v>
      </c>
      <c r="X611">
        <v>13.5</v>
      </c>
      <c r="Y611" t="s">
        <v>37</v>
      </c>
      <c r="Z611">
        <v>0</v>
      </c>
      <c r="AA611">
        <v>0</v>
      </c>
      <c r="AB611">
        <v>1</v>
      </c>
      <c r="AC611">
        <v>0</v>
      </c>
      <c r="AD611">
        <f t="shared" ca="1" si="9"/>
        <v>6</v>
      </c>
      <c r="AE611" t="e">
        <f>AVERAGE(Table1[[#This Row],[Runs Conceded]]/Table1[[#This Row],[Wickets Taken]])</f>
        <v>#DIV/0!</v>
      </c>
    </row>
    <row r="612" spans="1:31" x14ac:dyDescent="0.3">
      <c r="A612" t="s">
        <v>376</v>
      </c>
      <c r="B612" t="s">
        <v>392</v>
      </c>
      <c r="C612" t="s">
        <v>92</v>
      </c>
      <c r="D612">
        <v>4</v>
      </c>
      <c r="E612" t="s">
        <v>37</v>
      </c>
      <c r="F612" t="s">
        <v>37</v>
      </c>
      <c r="G612" t="s">
        <v>37</v>
      </c>
      <c r="H612" t="s">
        <v>37</v>
      </c>
      <c r="I612" t="s">
        <v>37</v>
      </c>
      <c r="J612" t="s">
        <v>37</v>
      </c>
      <c r="K612" t="s">
        <v>37</v>
      </c>
      <c r="L612" t="s">
        <v>37</v>
      </c>
      <c r="M612" t="s">
        <v>37</v>
      </c>
      <c r="N612" t="s">
        <v>37</v>
      </c>
      <c r="O612" t="s">
        <v>37</v>
      </c>
      <c r="P612" t="s">
        <v>37</v>
      </c>
      <c r="Q612">
        <v>4</v>
      </c>
      <c r="R612">
        <v>10</v>
      </c>
      <c r="S612">
        <v>0</v>
      </c>
      <c r="T612">
        <v>79</v>
      </c>
      <c r="U612">
        <v>5</v>
      </c>
      <c r="V612" s="2">
        <v>43984</v>
      </c>
      <c r="W612">
        <v>15.8</v>
      </c>
      <c r="X612">
        <v>7.9</v>
      </c>
      <c r="Y612">
        <v>12</v>
      </c>
      <c r="Z612">
        <v>0</v>
      </c>
      <c r="AA612">
        <v>0</v>
      </c>
      <c r="AB612">
        <v>1</v>
      </c>
      <c r="AC612">
        <v>0</v>
      </c>
      <c r="AD612">
        <f t="shared" ca="1" si="9"/>
        <v>14</v>
      </c>
      <c r="AE612">
        <f>AVERAGE(Table1[[#This Row],[Runs Conceded]]/Table1[[#This Row],[Wickets Taken]])</f>
        <v>15.8</v>
      </c>
    </row>
    <row r="613" spans="1:31" x14ac:dyDescent="0.3">
      <c r="A613" t="s">
        <v>393</v>
      </c>
      <c r="B613" t="s">
        <v>27</v>
      </c>
      <c r="C613" t="s">
        <v>92</v>
      </c>
      <c r="D613">
        <v>9</v>
      </c>
      <c r="E613">
        <v>6</v>
      </c>
      <c r="F613">
        <v>0</v>
      </c>
      <c r="G613">
        <v>32</v>
      </c>
      <c r="H613">
        <v>17</v>
      </c>
      <c r="I613">
        <v>5.33</v>
      </c>
      <c r="J613">
        <v>37</v>
      </c>
      <c r="K613">
        <v>86.48</v>
      </c>
      <c r="L613">
        <v>0</v>
      </c>
      <c r="M613">
        <v>0</v>
      </c>
      <c r="N613">
        <v>3</v>
      </c>
      <c r="O613">
        <v>1</v>
      </c>
      <c r="P613">
        <v>2</v>
      </c>
      <c r="Q613">
        <v>9</v>
      </c>
      <c r="R613">
        <v>33</v>
      </c>
      <c r="S613">
        <v>0</v>
      </c>
      <c r="T613">
        <v>306</v>
      </c>
      <c r="U613">
        <v>13</v>
      </c>
      <c r="V613" s="1">
        <v>44621</v>
      </c>
      <c r="W613">
        <v>23.53</v>
      </c>
      <c r="X613">
        <v>9.27</v>
      </c>
      <c r="Y613">
        <v>15.2</v>
      </c>
      <c r="Z613">
        <v>0</v>
      </c>
      <c r="AA613">
        <v>0</v>
      </c>
      <c r="AB613">
        <v>4</v>
      </c>
      <c r="AC613">
        <v>0</v>
      </c>
      <c r="AD613">
        <f t="shared" ca="1" si="9"/>
        <v>16</v>
      </c>
      <c r="AE613">
        <f>AVERAGE(Table1[[#This Row],[Runs Conceded]]/Table1[[#This Row],[Wickets Taken]])</f>
        <v>23.53846153846154</v>
      </c>
    </row>
    <row r="614" spans="1:31" x14ac:dyDescent="0.3">
      <c r="A614" t="s">
        <v>393</v>
      </c>
      <c r="B614" t="s">
        <v>43</v>
      </c>
      <c r="C614" t="s">
        <v>92</v>
      </c>
      <c r="D614">
        <v>16</v>
      </c>
      <c r="E614">
        <v>16</v>
      </c>
      <c r="F614">
        <v>3</v>
      </c>
      <c r="G614">
        <v>488</v>
      </c>
      <c r="H614" t="s">
        <v>394</v>
      </c>
      <c r="I614">
        <v>37.53</v>
      </c>
      <c r="J614">
        <v>300</v>
      </c>
      <c r="K614">
        <v>162.66</v>
      </c>
      <c r="L614">
        <v>0</v>
      </c>
      <c r="M614">
        <v>3</v>
      </c>
      <c r="N614">
        <v>0</v>
      </c>
      <c r="O614">
        <v>37</v>
      </c>
      <c r="P614">
        <v>27</v>
      </c>
      <c r="Q614" t="s">
        <v>37</v>
      </c>
      <c r="R614" t="s">
        <v>37</v>
      </c>
      <c r="S614" t="s">
        <v>37</v>
      </c>
      <c r="T614" t="s">
        <v>37</v>
      </c>
      <c r="U614" t="s">
        <v>37</v>
      </c>
      <c r="V614" t="s">
        <v>37</v>
      </c>
      <c r="W614" t="s">
        <v>37</v>
      </c>
      <c r="X614" t="s">
        <v>37</v>
      </c>
      <c r="Y614" t="s">
        <v>37</v>
      </c>
      <c r="Z614" t="s">
        <v>37</v>
      </c>
      <c r="AA614" t="s">
        <v>37</v>
      </c>
      <c r="AB614">
        <v>18</v>
      </c>
      <c r="AC614">
        <v>6</v>
      </c>
      <c r="AD614">
        <f t="shared" ca="1" si="9"/>
        <v>13</v>
      </c>
      <c r="AE614" t="e">
        <f>AVERAGE(Table1[[#This Row],[Runs Conceded]]/Table1[[#This Row],[Wickets Taken]])</f>
        <v>#VALUE!</v>
      </c>
    </row>
    <row r="615" spans="1:31" x14ac:dyDescent="0.3">
      <c r="A615" t="s">
        <v>393</v>
      </c>
      <c r="B615" t="s">
        <v>48</v>
      </c>
      <c r="C615" t="s">
        <v>92</v>
      </c>
      <c r="D615">
        <v>16</v>
      </c>
      <c r="E615">
        <v>16</v>
      </c>
      <c r="F615">
        <v>1</v>
      </c>
      <c r="G615">
        <v>463</v>
      </c>
      <c r="H615">
        <v>67</v>
      </c>
      <c r="I615">
        <v>30.86</v>
      </c>
      <c r="J615">
        <v>386</v>
      </c>
      <c r="K615">
        <v>119.94</v>
      </c>
      <c r="L615">
        <v>0</v>
      </c>
      <c r="M615">
        <v>3</v>
      </c>
      <c r="N615">
        <v>0</v>
      </c>
      <c r="O615">
        <v>41</v>
      </c>
      <c r="P615">
        <v>14</v>
      </c>
      <c r="Q615" t="s">
        <v>37</v>
      </c>
      <c r="R615" t="s">
        <v>37</v>
      </c>
      <c r="S615" t="s">
        <v>37</v>
      </c>
      <c r="T615" t="s">
        <v>37</v>
      </c>
      <c r="U615" t="s">
        <v>37</v>
      </c>
      <c r="V615" t="s">
        <v>37</v>
      </c>
      <c r="W615" t="s">
        <v>37</v>
      </c>
      <c r="X615" t="s">
        <v>37</v>
      </c>
      <c r="Y615" t="s">
        <v>37</v>
      </c>
      <c r="Z615" t="s">
        <v>37</v>
      </c>
      <c r="AA615" t="s">
        <v>37</v>
      </c>
      <c r="AB615">
        <v>8</v>
      </c>
      <c r="AC615">
        <v>0</v>
      </c>
      <c r="AD615">
        <f t="shared" ca="1" si="9"/>
        <v>15</v>
      </c>
      <c r="AE615" t="e">
        <f>AVERAGE(Table1[[#This Row],[Runs Conceded]]/Table1[[#This Row],[Wickets Taken]])</f>
        <v>#VALUE!</v>
      </c>
    </row>
    <row r="616" spans="1:31" x14ac:dyDescent="0.3">
      <c r="A616" t="s">
        <v>393</v>
      </c>
      <c r="B616" t="s">
        <v>53</v>
      </c>
      <c r="C616" t="s">
        <v>92</v>
      </c>
      <c r="D616">
        <v>11</v>
      </c>
      <c r="E616">
        <v>4</v>
      </c>
      <c r="F616">
        <v>2</v>
      </c>
      <c r="G616">
        <v>21</v>
      </c>
      <c r="H616">
        <v>8</v>
      </c>
      <c r="I616">
        <v>10.5</v>
      </c>
      <c r="J616">
        <v>24</v>
      </c>
      <c r="K616">
        <v>87.5</v>
      </c>
      <c r="L616">
        <v>0</v>
      </c>
      <c r="M616">
        <v>0</v>
      </c>
      <c r="N616">
        <v>0</v>
      </c>
      <c r="O616">
        <v>2</v>
      </c>
      <c r="P616">
        <v>0</v>
      </c>
      <c r="Q616">
        <v>11</v>
      </c>
      <c r="R616">
        <v>40</v>
      </c>
      <c r="S616">
        <v>0</v>
      </c>
      <c r="T616">
        <v>270</v>
      </c>
      <c r="U616">
        <v>11</v>
      </c>
      <c r="V616" s="1">
        <v>42795</v>
      </c>
      <c r="W616">
        <v>24.54</v>
      </c>
      <c r="X616">
        <v>6.75</v>
      </c>
      <c r="Y616">
        <v>21.8</v>
      </c>
      <c r="Z616">
        <v>0</v>
      </c>
      <c r="AA616">
        <v>0</v>
      </c>
      <c r="AB616">
        <v>1</v>
      </c>
      <c r="AC616">
        <v>0</v>
      </c>
      <c r="AD616">
        <f t="shared" ca="1" si="9"/>
        <v>7</v>
      </c>
      <c r="AE616">
        <f>AVERAGE(Table1[[#This Row],[Runs Conceded]]/Table1[[#This Row],[Wickets Taken]])</f>
        <v>24.545454545454547</v>
      </c>
    </row>
    <row r="617" spans="1:31" x14ac:dyDescent="0.3">
      <c r="A617" t="s">
        <v>393</v>
      </c>
      <c r="B617" t="s">
        <v>108</v>
      </c>
      <c r="C617" t="s">
        <v>92</v>
      </c>
      <c r="D617">
        <v>14</v>
      </c>
      <c r="E617">
        <v>12</v>
      </c>
      <c r="F617">
        <v>6</v>
      </c>
      <c r="G617">
        <v>110</v>
      </c>
      <c r="H617">
        <v>26</v>
      </c>
      <c r="I617">
        <v>18.329999999999998</v>
      </c>
      <c r="J617">
        <v>88</v>
      </c>
      <c r="K617">
        <v>125</v>
      </c>
      <c r="L617">
        <v>0</v>
      </c>
      <c r="M617">
        <v>0</v>
      </c>
      <c r="N617">
        <v>1</v>
      </c>
      <c r="O617">
        <v>10</v>
      </c>
      <c r="P617">
        <v>3</v>
      </c>
      <c r="Q617">
        <v>14</v>
      </c>
      <c r="R617">
        <v>51</v>
      </c>
      <c r="S617">
        <v>0</v>
      </c>
      <c r="T617">
        <v>364</v>
      </c>
      <c r="U617">
        <v>10</v>
      </c>
      <c r="V617" s="1">
        <v>44593</v>
      </c>
      <c r="W617">
        <v>36.4</v>
      </c>
      <c r="X617">
        <v>7.13</v>
      </c>
      <c r="Y617">
        <v>30.6</v>
      </c>
      <c r="Z617">
        <v>0</v>
      </c>
      <c r="AA617">
        <v>0</v>
      </c>
      <c r="AB617">
        <v>9</v>
      </c>
      <c r="AC617">
        <v>0</v>
      </c>
      <c r="AD617">
        <f t="shared" ca="1" si="9"/>
        <v>7</v>
      </c>
      <c r="AE617">
        <f>AVERAGE(Table1[[#This Row],[Runs Conceded]]/Table1[[#This Row],[Wickets Taken]])</f>
        <v>36.4</v>
      </c>
    </row>
    <row r="618" spans="1:31" x14ac:dyDescent="0.3">
      <c r="A618" t="s">
        <v>393</v>
      </c>
      <c r="B618" t="s">
        <v>64</v>
      </c>
      <c r="C618" t="s">
        <v>92</v>
      </c>
      <c r="D618">
        <v>4</v>
      </c>
      <c r="E618">
        <v>4</v>
      </c>
      <c r="F618">
        <v>0</v>
      </c>
      <c r="G618">
        <v>84</v>
      </c>
      <c r="H618">
        <v>40</v>
      </c>
      <c r="I618">
        <v>21</v>
      </c>
      <c r="J618">
        <v>70</v>
      </c>
      <c r="K618">
        <v>120</v>
      </c>
      <c r="L618">
        <v>0</v>
      </c>
      <c r="M618">
        <v>0</v>
      </c>
      <c r="N618">
        <v>0</v>
      </c>
      <c r="O618">
        <v>9</v>
      </c>
      <c r="P618">
        <v>4</v>
      </c>
      <c r="Q618" t="s">
        <v>37</v>
      </c>
      <c r="R618" t="s">
        <v>37</v>
      </c>
      <c r="S618" t="s">
        <v>37</v>
      </c>
      <c r="T618" t="s">
        <v>37</v>
      </c>
      <c r="U618" t="s">
        <v>37</v>
      </c>
      <c r="V618" t="s">
        <v>37</v>
      </c>
      <c r="W618" t="s">
        <v>37</v>
      </c>
      <c r="X618" t="s">
        <v>37</v>
      </c>
      <c r="Y618" t="s">
        <v>37</v>
      </c>
      <c r="Z618" t="s">
        <v>37</v>
      </c>
      <c r="AA618" t="s">
        <v>37</v>
      </c>
      <c r="AB618">
        <v>0</v>
      </c>
      <c r="AC618">
        <v>0</v>
      </c>
      <c r="AD618">
        <f t="shared" ca="1" si="9"/>
        <v>14</v>
      </c>
      <c r="AE618" t="e">
        <f>AVERAGE(Table1[[#This Row],[Runs Conceded]]/Table1[[#This Row],[Wickets Taken]])</f>
        <v>#VALUE!</v>
      </c>
    </row>
    <row r="619" spans="1:31" x14ac:dyDescent="0.3">
      <c r="A619" t="s">
        <v>393</v>
      </c>
      <c r="B619" t="s">
        <v>232</v>
      </c>
      <c r="C619" t="s">
        <v>92</v>
      </c>
      <c r="D619">
        <v>1</v>
      </c>
      <c r="E619">
        <v>1</v>
      </c>
      <c r="F619">
        <v>0</v>
      </c>
      <c r="G619">
        <v>6</v>
      </c>
      <c r="H619">
        <v>6</v>
      </c>
      <c r="I619">
        <v>6</v>
      </c>
      <c r="J619">
        <v>15</v>
      </c>
      <c r="K619">
        <v>40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</v>
      </c>
      <c r="R619">
        <v>4</v>
      </c>
      <c r="S619">
        <v>0</v>
      </c>
      <c r="T619">
        <v>28</v>
      </c>
      <c r="U619">
        <v>2</v>
      </c>
      <c r="V619" s="1">
        <v>46784</v>
      </c>
      <c r="W619">
        <v>14</v>
      </c>
      <c r="X619">
        <v>7</v>
      </c>
      <c r="Y619">
        <v>12</v>
      </c>
      <c r="Z619">
        <v>0</v>
      </c>
      <c r="AA619">
        <v>0</v>
      </c>
      <c r="AB619">
        <v>0</v>
      </c>
      <c r="AC619">
        <v>0</v>
      </c>
      <c r="AD619">
        <f t="shared" ca="1" si="9"/>
        <v>4</v>
      </c>
      <c r="AE619">
        <f>AVERAGE(Table1[[#This Row],[Runs Conceded]]/Table1[[#This Row],[Wickets Taken]])</f>
        <v>14</v>
      </c>
    </row>
    <row r="620" spans="1:31" x14ac:dyDescent="0.3">
      <c r="A620" t="s">
        <v>393</v>
      </c>
      <c r="B620" t="s">
        <v>65</v>
      </c>
      <c r="C620" t="s">
        <v>92</v>
      </c>
      <c r="D620">
        <v>2</v>
      </c>
      <c r="E620">
        <v>2</v>
      </c>
      <c r="F620">
        <v>1</v>
      </c>
      <c r="G620">
        <v>0</v>
      </c>
      <c r="H620" t="s">
        <v>148</v>
      </c>
      <c r="I620">
        <v>0</v>
      </c>
      <c r="J620">
        <v>2</v>
      </c>
      <c r="K620">
        <v>0</v>
      </c>
      <c r="L620">
        <v>0</v>
      </c>
      <c r="M620">
        <v>0</v>
      </c>
      <c r="N620">
        <v>1</v>
      </c>
      <c r="O620">
        <v>0</v>
      </c>
      <c r="P620">
        <v>0</v>
      </c>
      <c r="Q620">
        <v>2</v>
      </c>
      <c r="R620">
        <v>8</v>
      </c>
      <c r="S620">
        <v>0</v>
      </c>
      <c r="T620">
        <v>77</v>
      </c>
      <c r="U620">
        <v>2</v>
      </c>
      <c r="V620" s="1">
        <v>14642</v>
      </c>
      <c r="W620">
        <v>38.5</v>
      </c>
      <c r="X620">
        <v>9.6199999999999992</v>
      </c>
      <c r="Y620">
        <v>24</v>
      </c>
      <c r="Z620">
        <v>0</v>
      </c>
      <c r="AA620">
        <v>0</v>
      </c>
      <c r="AB620">
        <v>0</v>
      </c>
      <c r="AC620">
        <v>0</v>
      </c>
      <c r="AD620">
        <f t="shared" ca="1" si="9"/>
        <v>16</v>
      </c>
      <c r="AE620">
        <f>AVERAGE(Table1[[#This Row],[Runs Conceded]]/Table1[[#This Row],[Wickets Taken]])</f>
        <v>38.5</v>
      </c>
    </row>
    <row r="621" spans="1:31" x14ac:dyDescent="0.3">
      <c r="A621" t="s">
        <v>393</v>
      </c>
      <c r="B621" t="s">
        <v>294</v>
      </c>
      <c r="C621" t="s">
        <v>92</v>
      </c>
      <c r="D621">
        <v>16</v>
      </c>
      <c r="E621">
        <v>16</v>
      </c>
      <c r="F621">
        <v>1</v>
      </c>
      <c r="G621">
        <v>521</v>
      </c>
      <c r="H621" t="s">
        <v>193</v>
      </c>
      <c r="I621">
        <v>34.729999999999997</v>
      </c>
      <c r="J621">
        <v>384</v>
      </c>
      <c r="K621">
        <v>135.66999999999999</v>
      </c>
      <c r="L621">
        <v>0</v>
      </c>
      <c r="M621">
        <v>5</v>
      </c>
      <c r="N621">
        <v>1</v>
      </c>
      <c r="O621">
        <v>64</v>
      </c>
      <c r="P621">
        <v>11</v>
      </c>
      <c r="Q621" t="s">
        <v>37</v>
      </c>
      <c r="R621" t="s">
        <v>37</v>
      </c>
      <c r="S621" t="s">
        <v>37</v>
      </c>
      <c r="T621" t="s">
        <v>37</v>
      </c>
      <c r="U621" t="s">
        <v>37</v>
      </c>
      <c r="V621" t="s">
        <v>37</v>
      </c>
      <c r="W621" t="s">
        <v>37</v>
      </c>
      <c r="X621" t="s">
        <v>37</v>
      </c>
      <c r="Y621" t="s">
        <v>37</v>
      </c>
      <c r="Z621" t="s">
        <v>37</v>
      </c>
      <c r="AA621" t="s">
        <v>37</v>
      </c>
      <c r="AB621">
        <v>5</v>
      </c>
      <c r="AC621">
        <v>0</v>
      </c>
      <c r="AD621">
        <f t="shared" ca="1" si="9"/>
        <v>6</v>
      </c>
      <c r="AE621" t="e">
        <f>AVERAGE(Table1[[#This Row],[Runs Conceded]]/Table1[[#This Row],[Wickets Taken]])</f>
        <v>#VALUE!</v>
      </c>
    </row>
    <row r="622" spans="1:31" x14ac:dyDescent="0.3">
      <c r="A622" t="s">
        <v>393</v>
      </c>
      <c r="B622" t="s">
        <v>69</v>
      </c>
      <c r="C622" t="s">
        <v>92</v>
      </c>
      <c r="D622">
        <v>5</v>
      </c>
      <c r="E622">
        <v>3</v>
      </c>
      <c r="F622">
        <v>2</v>
      </c>
      <c r="G622">
        <v>7</v>
      </c>
      <c r="H622">
        <v>6</v>
      </c>
      <c r="I622">
        <v>7</v>
      </c>
      <c r="J622">
        <v>4</v>
      </c>
      <c r="K622">
        <v>175</v>
      </c>
      <c r="L622">
        <v>0</v>
      </c>
      <c r="M622">
        <v>0</v>
      </c>
      <c r="N622">
        <v>0</v>
      </c>
      <c r="O622">
        <v>0</v>
      </c>
      <c r="P622">
        <v>1</v>
      </c>
      <c r="Q622">
        <v>5</v>
      </c>
      <c r="R622">
        <v>19</v>
      </c>
      <c r="S622">
        <v>0</v>
      </c>
      <c r="T622">
        <v>163</v>
      </c>
      <c r="U622">
        <v>5</v>
      </c>
      <c r="V622" s="1">
        <v>46419</v>
      </c>
      <c r="W622">
        <v>32.6</v>
      </c>
      <c r="X622">
        <v>8.57</v>
      </c>
      <c r="Y622">
        <v>22.8</v>
      </c>
      <c r="Z622">
        <v>0</v>
      </c>
      <c r="AA622">
        <v>0</v>
      </c>
      <c r="AB622">
        <v>2</v>
      </c>
      <c r="AC622">
        <v>0</v>
      </c>
      <c r="AD622">
        <f t="shared" ca="1" si="9"/>
        <v>10</v>
      </c>
      <c r="AE622">
        <f>AVERAGE(Table1[[#This Row],[Runs Conceded]]/Table1[[#This Row],[Wickets Taken]])</f>
        <v>32.6</v>
      </c>
    </row>
    <row r="623" spans="1:31" x14ac:dyDescent="0.3">
      <c r="A623" t="s">
        <v>393</v>
      </c>
      <c r="B623" t="s">
        <v>143</v>
      </c>
      <c r="C623" t="s">
        <v>92</v>
      </c>
      <c r="D623">
        <v>13</v>
      </c>
      <c r="E623">
        <v>3</v>
      </c>
      <c r="F623">
        <v>3</v>
      </c>
      <c r="G623">
        <v>10</v>
      </c>
      <c r="H623" t="s">
        <v>151</v>
      </c>
      <c r="I623" t="s">
        <v>37</v>
      </c>
      <c r="J623">
        <v>3</v>
      </c>
      <c r="K623">
        <v>333.33</v>
      </c>
      <c r="L623">
        <v>0</v>
      </c>
      <c r="M623">
        <v>0</v>
      </c>
      <c r="N623">
        <v>0</v>
      </c>
      <c r="O623">
        <v>1</v>
      </c>
      <c r="P623">
        <v>1</v>
      </c>
      <c r="Q623">
        <v>13</v>
      </c>
      <c r="R623">
        <v>46</v>
      </c>
      <c r="S623">
        <v>1</v>
      </c>
      <c r="T623">
        <v>349</v>
      </c>
      <c r="U623">
        <v>13</v>
      </c>
      <c r="V623" s="1">
        <v>13940</v>
      </c>
      <c r="W623">
        <v>26.84</v>
      </c>
      <c r="X623">
        <v>7.58</v>
      </c>
      <c r="Y623">
        <v>21.2</v>
      </c>
      <c r="Z623">
        <v>0</v>
      </c>
      <c r="AA623">
        <v>0</v>
      </c>
      <c r="AB623">
        <v>1</v>
      </c>
      <c r="AC623">
        <v>0</v>
      </c>
      <c r="AD623">
        <f t="shared" ca="1" si="9"/>
        <v>16</v>
      </c>
      <c r="AE623">
        <f>AVERAGE(Table1[[#This Row],[Runs Conceded]]/Table1[[#This Row],[Wickets Taken]])</f>
        <v>26.846153846153847</v>
      </c>
    </row>
    <row r="624" spans="1:31" x14ac:dyDescent="0.3">
      <c r="A624" t="s">
        <v>393</v>
      </c>
      <c r="B624" t="s">
        <v>72</v>
      </c>
      <c r="C624" t="s">
        <v>92</v>
      </c>
      <c r="D624">
        <v>12</v>
      </c>
      <c r="E624">
        <v>4</v>
      </c>
      <c r="F624">
        <v>1</v>
      </c>
      <c r="G624">
        <v>14</v>
      </c>
      <c r="H624">
        <v>9</v>
      </c>
      <c r="I624">
        <v>4.66</v>
      </c>
      <c r="J624">
        <v>15</v>
      </c>
      <c r="K624">
        <v>93.33</v>
      </c>
      <c r="L624">
        <v>0</v>
      </c>
      <c r="M624">
        <v>0</v>
      </c>
      <c r="N624">
        <v>1</v>
      </c>
      <c r="O624">
        <v>0</v>
      </c>
      <c r="P624">
        <v>1</v>
      </c>
      <c r="Q624">
        <v>12</v>
      </c>
      <c r="R624">
        <v>47</v>
      </c>
      <c r="S624">
        <v>0</v>
      </c>
      <c r="T624">
        <v>368</v>
      </c>
      <c r="U624">
        <v>25</v>
      </c>
      <c r="V624" s="1">
        <v>44287</v>
      </c>
      <c r="W624">
        <v>14.72</v>
      </c>
      <c r="X624">
        <v>7.82</v>
      </c>
      <c r="Y624">
        <v>11.2</v>
      </c>
      <c r="Z624">
        <v>2</v>
      </c>
      <c r="AA624">
        <v>0</v>
      </c>
      <c r="AB624">
        <v>6</v>
      </c>
      <c r="AC624">
        <v>0</v>
      </c>
      <c r="AD624">
        <f t="shared" ca="1" si="9"/>
        <v>6</v>
      </c>
      <c r="AE624">
        <f>AVERAGE(Table1[[#This Row],[Runs Conceded]]/Table1[[#This Row],[Wickets Taken]])</f>
        <v>14.72</v>
      </c>
    </row>
    <row r="625" spans="1:31" x14ac:dyDescent="0.3">
      <c r="A625" t="s">
        <v>393</v>
      </c>
      <c r="B625" t="s">
        <v>78</v>
      </c>
      <c r="C625" t="s">
        <v>92</v>
      </c>
      <c r="D625">
        <v>5</v>
      </c>
      <c r="E625">
        <v>4</v>
      </c>
      <c r="F625">
        <v>3</v>
      </c>
      <c r="G625">
        <v>26</v>
      </c>
      <c r="H625" t="s">
        <v>119</v>
      </c>
      <c r="I625">
        <v>26</v>
      </c>
      <c r="J625">
        <v>22</v>
      </c>
      <c r="K625">
        <v>118.18</v>
      </c>
      <c r="L625">
        <v>0</v>
      </c>
      <c r="M625">
        <v>0</v>
      </c>
      <c r="N625">
        <v>0</v>
      </c>
      <c r="O625">
        <v>2</v>
      </c>
      <c r="P625">
        <v>1</v>
      </c>
      <c r="Q625">
        <v>3</v>
      </c>
      <c r="R625">
        <v>6.2</v>
      </c>
      <c r="S625">
        <v>0</v>
      </c>
      <c r="T625">
        <v>42</v>
      </c>
      <c r="U625">
        <v>2</v>
      </c>
      <c r="V625" s="2">
        <v>44105</v>
      </c>
      <c r="W625">
        <v>21</v>
      </c>
      <c r="X625">
        <v>6.63</v>
      </c>
      <c r="Y625">
        <v>19</v>
      </c>
      <c r="Z625">
        <v>0</v>
      </c>
      <c r="AA625">
        <v>0</v>
      </c>
      <c r="AB625">
        <v>6</v>
      </c>
      <c r="AC625">
        <v>0</v>
      </c>
      <c r="AD625">
        <f t="shared" ca="1" si="9"/>
        <v>5</v>
      </c>
      <c r="AE625">
        <f>AVERAGE(Table1[[#This Row],[Runs Conceded]]/Table1[[#This Row],[Wickets Taken]])</f>
        <v>21</v>
      </c>
    </row>
    <row r="626" spans="1:31" x14ac:dyDescent="0.3">
      <c r="A626" t="s">
        <v>393</v>
      </c>
      <c r="B626" t="s">
        <v>79</v>
      </c>
      <c r="C626" t="s">
        <v>92</v>
      </c>
      <c r="D626">
        <v>1</v>
      </c>
      <c r="E626">
        <v>1</v>
      </c>
      <c r="F626">
        <v>1</v>
      </c>
      <c r="G626">
        <v>4</v>
      </c>
      <c r="H626" t="s">
        <v>113</v>
      </c>
      <c r="I626" t="s">
        <v>37</v>
      </c>
      <c r="J626">
        <v>3</v>
      </c>
      <c r="K626">
        <v>133.33000000000001</v>
      </c>
      <c r="L626">
        <v>0</v>
      </c>
      <c r="M626">
        <v>0</v>
      </c>
      <c r="N626">
        <v>0</v>
      </c>
      <c r="O626">
        <v>1</v>
      </c>
      <c r="P626">
        <v>0</v>
      </c>
      <c r="Q626">
        <v>1</v>
      </c>
      <c r="R626">
        <v>3</v>
      </c>
      <c r="S626">
        <v>0</v>
      </c>
      <c r="T626">
        <v>30</v>
      </c>
      <c r="U626">
        <v>0</v>
      </c>
      <c r="V626" t="s">
        <v>37</v>
      </c>
      <c r="W626" t="s">
        <v>37</v>
      </c>
      <c r="X626">
        <v>10</v>
      </c>
      <c r="Y626" t="s">
        <v>37</v>
      </c>
      <c r="Z626">
        <v>0</v>
      </c>
      <c r="AA626">
        <v>0</v>
      </c>
      <c r="AB626">
        <v>1</v>
      </c>
      <c r="AC626">
        <v>0</v>
      </c>
      <c r="AD626">
        <f t="shared" ca="1" si="9"/>
        <v>8</v>
      </c>
      <c r="AE626" t="e">
        <f>AVERAGE(Table1[[#This Row],[Runs Conceded]]/Table1[[#This Row],[Wickets Taken]])</f>
        <v>#DIV/0!</v>
      </c>
    </row>
    <row r="627" spans="1:31" x14ac:dyDescent="0.3">
      <c r="A627" t="s">
        <v>393</v>
      </c>
      <c r="B627" t="s">
        <v>87</v>
      </c>
      <c r="C627" t="s">
        <v>92</v>
      </c>
      <c r="D627">
        <v>16</v>
      </c>
      <c r="E627">
        <v>16</v>
      </c>
      <c r="F627">
        <v>0</v>
      </c>
      <c r="G627">
        <v>353</v>
      </c>
      <c r="H627">
        <v>99</v>
      </c>
      <c r="I627">
        <v>22.06</v>
      </c>
      <c r="J627">
        <v>264</v>
      </c>
      <c r="K627">
        <v>133.71</v>
      </c>
      <c r="L627">
        <v>0</v>
      </c>
      <c r="M627">
        <v>2</v>
      </c>
      <c r="N627">
        <v>1</v>
      </c>
      <c r="O627">
        <v>45</v>
      </c>
      <c r="P627">
        <v>9</v>
      </c>
      <c r="Q627" t="s">
        <v>37</v>
      </c>
      <c r="R627" t="s">
        <v>37</v>
      </c>
      <c r="S627" t="s">
        <v>37</v>
      </c>
      <c r="T627" t="s">
        <v>37</v>
      </c>
      <c r="U627" t="s">
        <v>37</v>
      </c>
      <c r="V627" t="s">
        <v>37</v>
      </c>
      <c r="W627" t="s">
        <v>37</v>
      </c>
      <c r="X627" t="s">
        <v>37</v>
      </c>
      <c r="Y627" t="s">
        <v>37</v>
      </c>
      <c r="Z627" t="s">
        <v>37</v>
      </c>
      <c r="AA627" t="s">
        <v>37</v>
      </c>
      <c r="AB627">
        <v>2</v>
      </c>
      <c r="AC627">
        <v>0</v>
      </c>
      <c r="AD627">
        <f t="shared" ca="1" si="9"/>
        <v>14</v>
      </c>
      <c r="AE627" t="e">
        <f>AVERAGE(Table1[[#This Row],[Runs Conceded]]/Table1[[#This Row],[Wickets Taken]])</f>
        <v>#VALUE!</v>
      </c>
    </row>
    <row r="628" spans="1:31" x14ac:dyDescent="0.3">
      <c r="A628" t="s">
        <v>393</v>
      </c>
      <c r="B628" t="s">
        <v>90</v>
      </c>
      <c r="C628" t="s">
        <v>92</v>
      </c>
      <c r="D628">
        <v>6</v>
      </c>
      <c r="E628">
        <v>1</v>
      </c>
      <c r="F628">
        <v>0</v>
      </c>
      <c r="G628">
        <v>0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0</v>
      </c>
      <c r="N628">
        <v>1</v>
      </c>
      <c r="O628">
        <v>0</v>
      </c>
      <c r="P628">
        <v>0</v>
      </c>
      <c r="Q628">
        <v>6</v>
      </c>
      <c r="R628">
        <v>23</v>
      </c>
      <c r="S628">
        <v>0</v>
      </c>
      <c r="T628">
        <v>210</v>
      </c>
      <c r="U628">
        <v>8</v>
      </c>
      <c r="V628" s="1">
        <v>14671</v>
      </c>
      <c r="W628">
        <v>26.25</v>
      </c>
      <c r="X628">
        <v>9.1300000000000008</v>
      </c>
      <c r="Y628">
        <v>17.2</v>
      </c>
      <c r="Z628">
        <v>0</v>
      </c>
      <c r="AA628">
        <v>0</v>
      </c>
      <c r="AB628">
        <v>2</v>
      </c>
      <c r="AC628">
        <v>0</v>
      </c>
      <c r="AD628">
        <f t="shared" ca="1" si="9"/>
        <v>3</v>
      </c>
      <c r="AE628">
        <f>AVERAGE(Table1[[#This Row],[Runs Conceded]]/Table1[[#This Row],[Wickets Taken]])</f>
        <v>26.25</v>
      </c>
    </row>
    <row r="629" spans="1:31" x14ac:dyDescent="0.3">
      <c r="A629" t="s">
        <v>393</v>
      </c>
      <c r="B629" t="s">
        <v>395</v>
      </c>
      <c r="C629" t="s">
        <v>92</v>
      </c>
      <c r="D629">
        <v>12</v>
      </c>
      <c r="E629">
        <v>12</v>
      </c>
      <c r="F629">
        <v>2</v>
      </c>
      <c r="G629">
        <v>184</v>
      </c>
      <c r="H629">
        <v>47</v>
      </c>
      <c r="I629">
        <v>18.399999999999999</v>
      </c>
      <c r="J629">
        <v>154</v>
      </c>
      <c r="K629">
        <v>119.48</v>
      </c>
      <c r="L629">
        <v>0</v>
      </c>
      <c r="M629">
        <v>0</v>
      </c>
      <c r="N629">
        <v>0</v>
      </c>
      <c r="O629">
        <v>20</v>
      </c>
      <c r="P629">
        <v>5</v>
      </c>
      <c r="Q629" t="s">
        <v>37</v>
      </c>
      <c r="R629" t="s">
        <v>37</v>
      </c>
      <c r="S629" t="s">
        <v>37</v>
      </c>
      <c r="T629" t="s">
        <v>37</v>
      </c>
      <c r="U629" t="s">
        <v>37</v>
      </c>
      <c r="V629" t="s">
        <v>37</v>
      </c>
      <c r="W629" t="s">
        <v>37</v>
      </c>
      <c r="X629" t="s">
        <v>37</v>
      </c>
      <c r="Y629" t="s">
        <v>37</v>
      </c>
      <c r="Z629" t="s">
        <v>37</v>
      </c>
      <c r="AA629" t="s">
        <v>37</v>
      </c>
      <c r="AB629">
        <v>1</v>
      </c>
      <c r="AC629">
        <v>0</v>
      </c>
      <c r="AD629">
        <f t="shared" ca="1" si="9"/>
        <v>14</v>
      </c>
      <c r="AE629" t="e">
        <f>AVERAGE(Table1[[#This Row],[Runs Conceded]]/Table1[[#This Row],[Wickets Taken]])</f>
        <v>#VALUE!</v>
      </c>
    </row>
    <row r="630" spans="1:31" x14ac:dyDescent="0.3">
      <c r="A630" t="s">
        <v>393</v>
      </c>
      <c r="B630" t="s">
        <v>396</v>
      </c>
      <c r="C630" t="s">
        <v>92</v>
      </c>
      <c r="D630">
        <v>7</v>
      </c>
      <c r="E630">
        <v>7</v>
      </c>
      <c r="F630">
        <v>2</v>
      </c>
      <c r="G630">
        <v>73</v>
      </c>
      <c r="H630" t="s">
        <v>397</v>
      </c>
      <c r="I630">
        <v>14.6</v>
      </c>
      <c r="J630">
        <v>54</v>
      </c>
      <c r="K630">
        <v>135.18</v>
      </c>
      <c r="L630">
        <v>0</v>
      </c>
      <c r="M630">
        <v>0</v>
      </c>
      <c r="N630">
        <v>0</v>
      </c>
      <c r="O630">
        <v>2</v>
      </c>
      <c r="P630">
        <v>7</v>
      </c>
      <c r="Q630">
        <v>6</v>
      </c>
      <c r="R630">
        <v>6.5</v>
      </c>
      <c r="S630">
        <v>0</v>
      </c>
      <c r="T630">
        <v>59</v>
      </c>
      <c r="U630">
        <v>1</v>
      </c>
      <c r="V630" s="2">
        <v>43983</v>
      </c>
      <c r="W630">
        <v>59</v>
      </c>
      <c r="X630">
        <v>8.6300000000000008</v>
      </c>
      <c r="Y630">
        <v>41</v>
      </c>
      <c r="Z630">
        <v>0</v>
      </c>
      <c r="AA630">
        <v>0</v>
      </c>
      <c r="AB630">
        <v>5</v>
      </c>
      <c r="AC630">
        <v>0</v>
      </c>
      <c r="AD630">
        <f t="shared" ca="1" si="9"/>
        <v>7</v>
      </c>
      <c r="AE630">
        <f>AVERAGE(Table1[[#This Row],[Runs Conceded]]/Table1[[#This Row],[Wickets Taken]])</f>
        <v>59</v>
      </c>
    </row>
    <row r="631" spans="1:31" x14ac:dyDescent="0.3">
      <c r="A631" t="s">
        <v>393</v>
      </c>
      <c r="B631" t="s">
        <v>398</v>
      </c>
      <c r="C631" t="s">
        <v>92</v>
      </c>
      <c r="D631">
        <v>8</v>
      </c>
      <c r="E631">
        <v>6</v>
      </c>
      <c r="F631">
        <v>1</v>
      </c>
      <c r="G631">
        <v>18</v>
      </c>
      <c r="H631">
        <v>7</v>
      </c>
      <c r="I631">
        <v>3.6</v>
      </c>
      <c r="J631">
        <v>24</v>
      </c>
      <c r="K631">
        <v>75</v>
      </c>
      <c r="L631">
        <v>0</v>
      </c>
      <c r="M631">
        <v>0</v>
      </c>
      <c r="N631">
        <v>2</v>
      </c>
      <c r="O631">
        <v>1</v>
      </c>
      <c r="P631">
        <v>1</v>
      </c>
      <c r="Q631">
        <v>8</v>
      </c>
      <c r="R631">
        <v>27.1</v>
      </c>
      <c r="S631">
        <v>0</v>
      </c>
      <c r="T631">
        <v>237</v>
      </c>
      <c r="U631">
        <v>9</v>
      </c>
      <c r="V631" s="1">
        <v>42795</v>
      </c>
      <c r="W631">
        <v>26.33</v>
      </c>
      <c r="X631">
        <v>8.7200000000000006</v>
      </c>
      <c r="Y631">
        <v>18.100000000000001</v>
      </c>
      <c r="Z631">
        <v>0</v>
      </c>
      <c r="AA631">
        <v>0</v>
      </c>
      <c r="AB631">
        <v>5</v>
      </c>
      <c r="AC631">
        <v>0</v>
      </c>
      <c r="AD631">
        <f t="shared" ca="1" si="9"/>
        <v>16</v>
      </c>
      <c r="AE631">
        <f>AVERAGE(Table1[[#This Row],[Runs Conceded]]/Table1[[#This Row],[Wickets Taken]])</f>
        <v>26.333333333333332</v>
      </c>
    </row>
    <row r="632" spans="1:31" x14ac:dyDescent="0.3">
      <c r="A632" t="s">
        <v>393</v>
      </c>
      <c r="B632" t="s">
        <v>399</v>
      </c>
      <c r="C632" t="s">
        <v>92</v>
      </c>
      <c r="D632">
        <v>2</v>
      </c>
      <c r="E632">
        <v>2</v>
      </c>
      <c r="F632">
        <v>0</v>
      </c>
      <c r="G632">
        <v>4</v>
      </c>
      <c r="H632">
        <v>2</v>
      </c>
      <c r="I632">
        <v>2</v>
      </c>
      <c r="J632">
        <v>8</v>
      </c>
      <c r="K632">
        <v>50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</v>
      </c>
      <c r="R632">
        <v>1</v>
      </c>
      <c r="S632">
        <v>0</v>
      </c>
      <c r="T632">
        <v>9</v>
      </c>
      <c r="U632">
        <v>0</v>
      </c>
      <c r="V632" t="s">
        <v>37</v>
      </c>
      <c r="W632" t="s">
        <v>37</v>
      </c>
      <c r="X632">
        <v>9</v>
      </c>
      <c r="Y632" t="s">
        <v>37</v>
      </c>
      <c r="Z632">
        <v>0</v>
      </c>
      <c r="AA632">
        <v>0</v>
      </c>
      <c r="AB632">
        <v>0</v>
      </c>
      <c r="AC632">
        <v>0</v>
      </c>
      <c r="AD632">
        <f t="shared" ca="1" si="9"/>
        <v>15</v>
      </c>
      <c r="AE632" t="e">
        <f>AVERAGE(Table1[[#This Row],[Runs Conceded]]/Table1[[#This Row],[Wickets Taken]])</f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complete dashboard for excel pr</vt:lpstr>
      <vt:lpstr>Dashboard1 excel project ankit</vt:lpstr>
      <vt:lpstr>dashboard ankiiii</vt:lpstr>
      <vt:lpstr>Dashboard 2 excel project ankit</vt:lpstr>
      <vt:lpstr>Dashboard 3 excel project ankit</vt:lpstr>
      <vt:lpstr>IPL Player Stats - 2016 till 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 ANKIT</dc:creator>
  <cp:lastModifiedBy>KUMAR ANKIT</cp:lastModifiedBy>
  <dcterms:created xsi:type="dcterms:W3CDTF">2020-12-05T17:44:31Z</dcterms:created>
  <dcterms:modified xsi:type="dcterms:W3CDTF">2020-12-11T05:59:28Z</dcterms:modified>
</cp:coreProperties>
</file>